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ster" sheetId="1" state="visible" r:id="rId3"/>
    <sheet name="Season Stats" sheetId="2" state="visible" r:id="rId4"/>
    <sheet name="Per Game · Elan Rom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<sst xmlns="http://schemas.openxmlformats.org/spreadsheetml/2006/main" count="630" uniqueCount="392">
  <si>
    <t xml:space="preserve">#</t>
  </si>
  <si>
    <t xml:space="preserve">Name</t>
  </si>
  <si>
    <t xml:space="preserve">Position</t>
  </si>
  <si>
    <t xml:space="preserve">Height</t>
  </si>
  <si>
    <t xml:space="preserve">Year</t>
  </si>
  <si>
    <t xml:space="preserve">Major</t>
  </si>
  <si>
    <t xml:space="preserve">Hometown</t>
  </si>
  <si>
    <t xml:space="preserve">0</t>
  </si>
  <si>
    <t xml:space="preserve">Adam Henry</t>
  </si>
  <si>
    <t xml:space="preserve">GK</t>
  </si>
  <si>
    <t xml:space="preserve">6'2"</t>
  </si>
  <si>
    <t xml:space="preserve">Graduate</t>
  </si>
  <si>
    <t xml:space="preserve">M.S.F.</t>
  </si>
  <si>
    <t xml:space="preserve">Fort Myers, FL</t>
  </si>
  <si>
    <t xml:space="preserve">00</t>
  </si>
  <si>
    <t xml:space="preserve">Sotiri Tiglianidis</t>
  </si>
  <si>
    <t xml:space="preserve">6'0"</t>
  </si>
  <si>
    <t xml:space="preserve">First-year</t>
  </si>
  <si>
    <t xml:space="preserve">Undeclared</t>
  </si>
  <si>
    <t xml:space="preserve">Dedham, MA</t>
  </si>
  <si>
    <t xml:space="preserve">1</t>
  </si>
  <si>
    <t xml:space="preserve">Benny Shin</t>
  </si>
  <si>
    <t xml:space="preserve">5'11"</t>
  </si>
  <si>
    <t xml:space="preserve">Junior</t>
  </si>
  <si>
    <t xml:space="preserve">Business/Psychology</t>
  </si>
  <si>
    <t xml:space="preserve">San Diego, CA</t>
  </si>
  <si>
    <t xml:space="preserve">2</t>
  </si>
  <si>
    <t xml:space="preserve">Alex Karibian</t>
  </si>
  <si>
    <t xml:space="preserve">M</t>
  </si>
  <si>
    <t xml:space="preserve">5'9"</t>
  </si>
  <si>
    <t xml:space="preserve">Business</t>
  </si>
  <si>
    <t xml:space="preserve">Salem, NH</t>
  </si>
  <si>
    <t xml:space="preserve">3</t>
  </si>
  <si>
    <t xml:space="preserve">Jacob Morse</t>
  </si>
  <si>
    <t xml:space="preserve">B</t>
  </si>
  <si>
    <t xml:space="preserve">Sophomore</t>
  </si>
  <si>
    <t xml:space="preserve">Framingham, MA</t>
  </si>
  <si>
    <t xml:space="preserve">4</t>
  </si>
  <si>
    <t xml:space="preserve">Kaito Shinoda</t>
  </si>
  <si>
    <t xml:space="preserve">5'7"</t>
  </si>
  <si>
    <t xml:space="preserve">Fort Lee, NJ</t>
  </si>
  <si>
    <t xml:space="preserve">5</t>
  </si>
  <si>
    <t xml:space="preserve">Dylan Marzouca</t>
  </si>
  <si>
    <t xml:space="preserve">6'3"</t>
  </si>
  <si>
    <t xml:space="preserve">Kingston, Jamaica</t>
  </si>
  <si>
    <t xml:space="preserve">6</t>
  </si>
  <si>
    <t xml:space="preserve">Juan Vera</t>
  </si>
  <si>
    <t xml:space="preserve">M/B</t>
  </si>
  <si>
    <t xml:space="preserve">Caracas, Venezuela</t>
  </si>
  <si>
    <t xml:space="preserve">7</t>
  </si>
  <si>
    <t xml:space="preserve">Maddox Yu</t>
  </si>
  <si>
    <t xml:space="preserve">F</t>
  </si>
  <si>
    <t xml:space="preserve">5'8"</t>
  </si>
  <si>
    <t xml:space="preserve">Ridgefield, CT</t>
  </si>
  <si>
    <t xml:space="preserve">8</t>
  </si>
  <si>
    <t xml:space="preserve">Charlie Culbert</t>
  </si>
  <si>
    <t xml:space="preserve">Twickenham, England</t>
  </si>
  <si>
    <t xml:space="preserve">9</t>
  </si>
  <si>
    <t xml:space="preserve">Elan Romo</t>
  </si>
  <si>
    <t xml:space="preserve">Senior</t>
  </si>
  <si>
    <t xml:space="preserve">Computer Science</t>
  </si>
  <si>
    <t xml:space="preserve">Weston, FL</t>
  </si>
  <si>
    <t xml:space="preserve">10</t>
  </si>
  <si>
    <t xml:space="preserve">Rainer Osselmann-Chai</t>
  </si>
  <si>
    <t xml:space="preserve">Business/Economics</t>
  </si>
  <si>
    <t xml:space="preserve">Acton, MA</t>
  </si>
  <si>
    <t xml:space="preserve">11</t>
  </si>
  <si>
    <t xml:space="preserve">Aidan Chuang</t>
  </si>
  <si>
    <t xml:space="preserve">Economics/Creative Writing</t>
  </si>
  <si>
    <t xml:space="preserve">New York, NY</t>
  </si>
  <si>
    <t xml:space="preserve">13</t>
  </si>
  <si>
    <t xml:space="preserve">Slater Loffredo</t>
  </si>
  <si>
    <t xml:space="preserve">North Hampton, NH</t>
  </si>
  <si>
    <t xml:space="preserve">14</t>
  </si>
  <si>
    <t xml:space="preserve">Yoav Feingold</t>
  </si>
  <si>
    <t xml:space="preserve">5'10"</t>
  </si>
  <si>
    <t xml:space="preserve">Wellesley, MA</t>
  </si>
  <si>
    <t xml:space="preserve">15</t>
  </si>
  <si>
    <t xml:space="preserve">Langston Byrd</t>
  </si>
  <si>
    <t xml:space="preserve">Austin, TX</t>
  </si>
  <si>
    <t xml:space="preserve">16</t>
  </si>
  <si>
    <t xml:space="preserve">Jaiden Banton</t>
  </si>
  <si>
    <t xml:space="preserve">6'1"</t>
  </si>
  <si>
    <t xml:space="preserve">Economics</t>
  </si>
  <si>
    <t xml:space="preserve">17</t>
  </si>
  <si>
    <t xml:space="preserve">Reid Etzbach</t>
  </si>
  <si>
    <t xml:space="preserve">Wilton, CT</t>
  </si>
  <si>
    <t xml:space="preserve">18</t>
  </si>
  <si>
    <t xml:space="preserve">Nico Beninda</t>
  </si>
  <si>
    <t xml:space="preserve">Monroe Township, NJ</t>
  </si>
  <si>
    <t xml:space="preserve">20</t>
  </si>
  <si>
    <t xml:space="preserve">Ben Vogelman</t>
  </si>
  <si>
    <t xml:space="preserve">Cape Town, South Africa</t>
  </si>
  <si>
    <t xml:space="preserve">21</t>
  </si>
  <si>
    <t xml:space="preserve">Josh Andrews</t>
  </si>
  <si>
    <t xml:space="preserve">Psychology</t>
  </si>
  <si>
    <t xml:space="preserve">Lexington, MA</t>
  </si>
  <si>
    <t xml:space="preserve">22</t>
  </si>
  <si>
    <t xml:space="preserve">Kenshin Murakawa</t>
  </si>
  <si>
    <t xml:space="preserve">Computer Science/Economics</t>
  </si>
  <si>
    <t xml:space="preserve">Osaka, Japan</t>
  </si>
  <si>
    <t xml:space="preserve">23</t>
  </si>
  <si>
    <t xml:space="preserve">Junyeop Lee</t>
  </si>
  <si>
    <t xml:space="preserve">Seoul, South Korea</t>
  </si>
  <si>
    <t xml:space="preserve">24</t>
  </si>
  <si>
    <t xml:space="preserve">Aiden Melesko</t>
  </si>
  <si>
    <t xml:space="preserve">Manchester, CT</t>
  </si>
  <si>
    <t xml:space="preserve">26</t>
  </si>
  <si>
    <t xml:space="preserve">Kaden Collins</t>
  </si>
  <si>
    <t xml:space="preserve">Farmington, CT</t>
  </si>
  <si>
    <t xml:space="preserve">30</t>
  </si>
  <si>
    <t xml:space="preserve">Edson Gomez-Manja</t>
  </si>
  <si>
    <t xml:space="preserve">Fairfax, VA</t>
  </si>
  <si>
    <t xml:space="preserve">31</t>
  </si>
  <si>
    <t xml:space="preserve">Alessio Natoli</t>
  </si>
  <si>
    <t xml:space="preserve">32</t>
  </si>
  <si>
    <t xml:space="preserve">Keller Chamovitz</t>
  </si>
  <si>
    <t xml:space="preserve">6'4"</t>
  </si>
  <si>
    <t xml:space="preserve">Sewickley, PA</t>
  </si>
  <si>
    <t xml:space="preserve">99</t>
  </si>
  <si>
    <t xml:space="preserve">Tyler Correnti</t>
  </si>
  <si>
    <t xml:space="preserve">Neuroscience/Biology</t>
  </si>
  <si>
    <t xml:space="preserve">West Newbury, MA</t>
  </si>
  <si>
    <t xml:space="preserve">PROFILE</t>
  </si>
  <si>
    <t xml:space="preserve">TOP STATS</t>
  </si>
  <si>
    <t xml:space="preserve">ATTACK</t>
  </si>
  <si>
    <t xml:space="preserve">DUELS</t>
  </si>
  <si>
    <t xml:space="preserve">DEFENSE</t>
  </si>
  <si>
    <t xml:space="preserve">OFF BALL — FIELDVISION ONLY</t>
  </si>
  <si>
    <t xml:space="preserve">RATING</t>
  </si>
  <si>
    <t xml:space="preserve">GP</t>
  </si>
  <si>
    <t xml:space="preserve">GS</t>
  </si>
  <si>
    <t xml:space="preserve">Minutes Played</t>
  </si>
  <si>
    <t xml:space="preserve">Goals</t>
  </si>
  <si>
    <t xml:space="preserve">Assists</t>
  </si>
  <si>
    <t xml:space="preserve">Expected Goals (xG)</t>
  </si>
  <si>
    <t xml:space="preserve">xG on Target (xGOT)</t>
  </si>
  <si>
    <t xml:space="preserve">Expected Assists (xA)</t>
  </si>
  <si>
    <t xml:space="preserve">Shots</t>
  </si>
  <si>
    <t xml:space="preserve">Shots on Target</t>
  </si>
  <si>
    <t xml:space="preserve">Shots off Target</t>
  </si>
  <si>
    <t xml:space="preserve">Blocked Shots</t>
  </si>
  <si>
    <t xml:space="preserve">Shot Accuracy</t>
  </si>
  <si>
    <t xml:space="preserve">Accurate Passes</t>
  </si>
  <si>
    <t xml:space="preserve">Chances Created</t>
  </si>
  <si>
    <t xml:space="preserve">Big Chances Created</t>
  </si>
  <si>
    <t xml:space="preserve">Defensive Contributions</t>
  </si>
  <si>
    <t xml:space="preserve">Touches</t>
  </si>
  <si>
    <t xml:space="preserve">Touches in Opp Box</t>
  </si>
  <si>
    <t xml:space="preserve">Successful Dribbles</t>
  </si>
  <si>
    <t xml:space="preserve">Passes into Final Third</t>
  </si>
  <si>
    <t xml:space="preserve">Accurate Crosses</t>
  </si>
  <si>
    <t xml:space="preserve">Corners</t>
  </si>
  <si>
    <t xml:space="preserve">Dispossessed</t>
  </si>
  <si>
    <t xml:space="preserve">Ground Duels Won</t>
  </si>
  <si>
    <t xml:space="preserve">Aerial Duels Won</t>
  </si>
  <si>
    <t xml:space="preserve">Was Fouled</t>
  </si>
  <si>
    <t xml:space="preserve">Fouls Committed</t>
  </si>
  <si>
    <t xml:space="preserve">Tackles</t>
  </si>
  <si>
    <t xml:space="preserve">Interceptions</t>
  </si>
  <si>
    <t xml:space="preserve">Recoveries</t>
  </si>
  <si>
    <t xml:space="preserve">Dribbled Past</t>
  </si>
  <si>
    <t xml:space="preserve">Off Ball Distance (km)</t>
  </si>
  <si>
    <t xml:space="preserve">Sprint Distance (m)</t>
  </si>
  <si>
    <t xml:space="preserve">Top Speed (km/h)</t>
  </si>
  <si>
    <t xml:space="preserve">Pressure Events</t>
  </si>
  <si>
    <t xml:space="preserve">Runs Creating Chances</t>
  </si>
  <si>
    <t xml:space="preserve">Space Created /90</t>
  </si>
  <si>
    <t xml:space="preserve">Progressive Runs</t>
  </si>
  <si>
    <t xml:space="preserve">Defensive Actions /90</t>
  </si>
  <si>
    <t xml:space="preserve">FV Rating</t>
  </si>
  <si>
    <t xml:space="preserve">0/0 (0%)</t>
  </si>
  <si>
    <t xml:space="preserve">151/230 (66%)</t>
  </si>
  <si>
    <t xml:space="preserve">6/5 (120%)</t>
  </si>
  <si>
    <t xml:space="preserve">8/17 (47%)</t>
  </si>
  <si>
    <t xml:space="preserve">115/166 (69%)</t>
  </si>
  <si>
    <t xml:space="preserve">8/6 (133%)</t>
  </si>
  <si>
    <t xml:space="preserve">11/15 (73%)</t>
  </si>
  <si>
    <t xml:space="preserve">204/317 (64%)</t>
  </si>
  <si>
    <t xml:space="preserve">6/11 (55%)</t>
  </si>
  <si>
    <t xml:space="preserve">12/12 (100%)</t>
  </si>
  <si>
    <t xml:space="preserve">5/24 (21%)</t>
  </si>
  <si>
    <t xml:space="preserve">810/973 (83%)</t>
  </si>
  <si>
    <t xml:space="preserve">31/47 (66%)</t>
  </si>
  <si>
    <t xml:space="preserve">6/20 (30%)</t>
  </si>
  <si>
    <t xml:space="preserve">72/119 (61%)</t>
  </si>
  <si>
    <t xml:space="preserve">10/23 (43%)</t>
  </si>
  <si>
    <t xml:space="preserve">0/2 (0%)</t>
  </si>
  <si>
    <t xml:space="preserve">295/392 (75%)</t>
  </si>
  <si>
    <t xml:space="preserve">17/29 (59%)</t>
  </si>
  <si>
    <t xml:space="preserve">1/4 (25%)</t>
  </si>
  <si>
    <t xml:space="preserve">51/92 (55%)</t>
  </si>
  <si>
    <t xml:space="preserve">20/27 (74%)</t>
  </si>
  <si>
    <t xml:space="preserve">7/11 (64%)</t>
  </si>
  <si>
    <t xml:space="preserve">606/758 (80%)</t>
  </si>
  <si>
    <t xml:space="preserve">22/41 (54%)</t>
  </si>
  <si>
    <t xml:space="preserve">10/35 (29%)</t>
  </si>
  <si>
    <t xml:space="preserve">75/141 (53%)</t>
  </si>
  <si>
    <t xml:space="preserve">21/39 (54%)</t>
  </si>
  <si>
    <t xml:space="preserve">1/9 (11%)</t>
  </si>
  <si>
    <t xml:space="preserve">654/790 (83%)</t>
  </si>
  <si>
    <t xml:space="preserve">13/28 (46%)</t>
  </si>
  <si>
    <t xml:space="preserve">50/86 (58%)</t>
  </si>
  <si>
    <t xml:space="preserve">29/44 (66%)</t>
  </si>
  <si>
    <t xml:space="preserve">11/19 (58%)</t>
  </si>
  <si>
    <t xml:space="preserve">483/601 (80%)</t>
  </si>
  <si>
    <t xml:space="preserve">26/43 (60%)</t>
  </si>
  <si>
    <t xml:space="preserve">6/23 (26%)</t>
  </si>
  <si>
    <t xml:space="preserve">52/94 (55%)</t>
  </si>
  <si>
    <t xml:space="preserve">7/15 (47%)</t>
  </si>
  <si>
    <t xml:space="preserve">25/36 (69%)</t>
  </si>
  <si>
    <t xml:space="preserve">285/369 (77%)</t>
  </si>
  <si>
    <t xml:space="preserve">41/59 (69%)</t>
  </si>
  <si>
    <t xml:space="preserve">4/15 (27%)</t>
  </si>
  <si>
    <t xml:space="preserve">50/101 (50%)</t>
  </si>
  <si>
    <t xml:space="preserve">26/48 (54%)</t>
  </si>
  <si>
    <t xml:space="preserve">4/16 (25%)</t>
  </si>
  <si>
    <t xml:space="preserve">1230/1454 (85%)</t>
  </si>
  <si>
    <t xml:space="preserve">16/28 (57%)</t>
  </si>
  <si>
    <t xml:space="preserve">5/21 (24%)</t>
  </si>
  <si>
    <t xml:space="preserve">83/136 (61%)</t>
  </si>
  <si>
    <t xml:space="preserve">9/21 (43%)</t>
  </si>
  <si>
    <t xml:space="preserve">29/59 (49%)</t>
  </si>
  <si>
    <t xml:space="preserve">248/306 (81%)</t>
  </si>
  <si>
    <t xml:space="preserve">47/68 (69%)</t>
  </si>
  <si>
    <t xml:space="preserve">12/34 (35%)</t>
  </si>
  <si>
    <t xml:space="preserve">84/138 (61%)</t>
  </si>
  <si>
    <t xml:space="preserve">31/60 (52%)</t>
  </si>
  <si>
    <t xml:space="preserve">2/19 (11%)</t>
  </si>
  <si>
    <t xml:space="preserve">1040/1339 (78%)</t>
  </si>
  <si>
    <t xml:space="preserve">20/36 (56%)</t>
  </si>
  <si>
    <t xml:space="preserve">10/40 (25%)</t>
  </si>
  <si>
    <t xml:space="preserve">68/126 (54%)</t>
  </si>
  <si>
    <t xml:space="preserve">11/22 (50%)</t>
  </si>
  <si>
    <t xml:space="preserve">24/54 (44%)</t>
  </si>
  <si>
    <t xml:space="preserve">629/778 (81%)</t>
  </si>
  <si>
    <t xml:space="preserve">43/61 (70%)</t>
  </si>
  <si>
    <t xml:space="preserve">8/23 (35%)</t>
  </si>
  <si>
    <t xml:space="preserve">14/28 (50%)</t>
  </si>
  <si>
    <t xml:space="preserve">8/28 (29%)</t>
  </si>
  <si>
    <t xml:space="preserve">419/500 (84%)</t>
  </si>
  <si>
    <t xml:space="preserve">36/57 (63%)</t>
  </si>
  <si>
    <t xml:space="preserve">3/12 (25%)</t>
  </si>
  <si>
    <t xml:space="preserve">73/124 (59%)</t>
  </si>
  <si>
    <t xml:space="preserve">20/38 (53%)</t>
  </si>
  <si>
    <t xml:space="preserve">11/16 (69%)</t>
  </si>
  <si>
    <t xml:space="preserve">343/423 (81%)</t>
  </si>
  <si>
    <t xml:space="preserve">25/43 (58%)</t>
  </si>
  <si>
    <t xml:space="preserve">5/16 (31%)</t>
  </si>
  <si>
    <t xml:space="preserve">98/155 (63%)</t>
  </si>
  <si>
    <t xml:space="preserve">18/41 (44%)</t>
  </si>
  <si>
    <t xml:space="preserve">224/294 (76%)</t>
  </si>
  <si>
    <t xml:space="preserve">27/43 (63%)</t>
  </si>
  <si>
    <t xml:space="preserve">2/8 (25%)</t>
  </si>
  <si>
    <t xml:space="preserve">78/126 (62%)</t>
  </si>
  <si>
    <t xml:space="preserve">14/27 (52%)</t>
  </si>
  <si>
    <t xml:space="preserve">18/47 (38%)</t>
  </si>
  <si>
    <t xml:space="preserve">578/719 (80%)</t>
  </si>
  <si>
    <t xml:space="preserve">25/38 (66%)</t>
  </si>
  <si>
    <t xml:space="preserve">8/21 (38%)</t>
  </si>
  <si>
    <t xml:space="preserve">46/89 (52%)</t>
  </si>
  <si>
    <t xml:space="preserve">26/42 (62%)</t>
  </si>
  <si>
    <t xml:space="preserve">2/5 (40%)</t>
  </si>
  <si>
    <t xml:space="preserve">716/849 (84%)</t>
  </si>
  <si>
    <t xml:space="preserve">4/8 (50%)</t>
  </si>
  <si>
    <t xml:space="preserve">2/9 (22%)</t>
  </si>
  <si>
    <t xml:space="preserve">70/126 (56%)</t>
  </si>
  <si>
    <t xml:space="preserve">29/50 (58%)</t>
  </si>
  <si>
    <t xml:space="preserve">3/22 (14%)</t>
  </si>
  <si>
    <t xml:space="preserve">1051/1356 (78%)</t>
  </si>
  <si>
    <t xml:space="preserve">18/31 (58%)</t>
  </si>
  <si>
    <t xml:space="preserve">11/30 (37%)</t>
  </si>
  <si>
    <t xml:space="preserve">64/126 (51%)</t>
  </si>
  <si>
    <t xml:space="preserve">9/17 (53%)</t>
  </si>
  <si>
    <t xml:space="preserve">9/16 (56%)</t>
  </si>
  <si>
    <t xml:space="preserve">427/526 (81%)</t>
  </si>
  <si>
    <t xml:space="preserve">28/51 (55%)</t>
  </si>
  <si>
    <t xml:space="preserve">9/28 (32%)</t>
  </si>
  <si>
    <t xml:space="preserve">81/141 (57%)</t>
  </si>
  <si>
    <t xml:space="preserve">11/31 (35%)</t>
  </si>
  <si>
    <t xml:space="preserve">11/52 (21%)</t>
  </si>
  <si>
    <t xml:space="preserve">258/344 (75%)</t>
  </si>
  <si>
    <t xml:space="preserve">15/31 (48%)</t>
  </si>
  <si>
    <t xml:space="preserve">4/18 (22%)</t>
  </si>
  <si>
    <t xml:space="preserve">72/137 (53%)</t>
  </si>
  <si>
    <t xml:space="preserve">14/22 (64%)</t>
  </si>
  <si>
    <t xml:space="preserve">2/14 (14%)</t>
  </si>
  <si>
    <t xml:space="preserve">554/653 (85%)</t>
  </si>
  <si>
    <t xml:space="preserve">24/43 (56%)</t>
  </si>
  <si>
    <t xml:space="preserve">3/13 (23%)</t>
  </si>
  <si>
    <t xml:space="preserve">73/138 (53%)</t>
  </si>
  <si>
    <t xml:space="preserve">719/858 (84%)</t>
  </si>
  <si>
    <t xml:space="preserve">12/22 (55%)</t>
  </si>
  <si>
    <t xml:space="preserve">60/113 (53%)</t>
  </si>
  <si>
    <t xml:space="preserve">33/58 (57%)</t>
  </si>
  <si>
    <t xml:space="preserve">9/24 (38%)</t>
  </si>
  <si>
    <t xml:space="preserve">218/273 (80%)</t>
  </si>
  <si>
    <t xml:space="preserve">29/42 (69%)</t>
  </si>
  <si>
    <t xml:space="preserve">54/114 (47%)</t>
  </si>
  <si>
    <t xml:space="preserve">8/15 (53%)</t>
  </si>
  <si>
    <t xml:space="preserve">0/11 (0%)</t>
  </si>
  <si>
    <t xml:space="preserve">954/1148 (83%)</t>
  </si>
  <si>
    <t xml:space="preserve">11/20 (55%)</t>
  </si>
  <si>
    <t xml:space="preserve">2/7 (29%)</t>
  </si>
  <si>
    <t xml:space="preserve">58/101 (57%)</t>
  </si>
  <si>
    <t xml:space="preserve">3/4 (75%)</t>
  </si>
  <si>
    <t xml:space="preserve">534/648 (82%)</t>
  </si>
  <si>
    <t xml:space="preserve">1/8 (12%)</t>
  </si>
  <si>
    <t xml:space="preserve">37/67 (55%)</t>
  </si>
  <si>
    <t xml:space="preserve">28/39 (72%)</t>
  </si>
  <si>
    <t xml:space="preserve">4/14 (29%)</t>
  </si>
  <si>
    <t xml:space="preserve">533/710 (75%)</t>
  </si>
  <si>
    <t xml:space="preserve">9/19 (47%)</t>
  </si>
  <si>
    <t xml:space="preserve">38/64 (59%)</t>
  </si>
  <si>
    <t xml:space="preserve">31/44 (70%)</t>
  </si>
  <si>
    <t xml:space="preserve">15/20 (75%)</t>
  </si>
  <si>
    <t xml:space="preserve">433/553 (78%)</t>
  </si>
  <si>
    <t xml:space="preserve">23/33 (70%)</t>
  </si>
  <si>
    <t xml:space="preserve">5/22 (23%)</t>
  </si>
  <si>
    <t xml:space="preserve">66/124 (53%)</t>
  </si>
  <si>
    <t xml:space="preserve">30/48 (62%)</t>
  </si>
  <si>
    <t xml:space="preserve">368/563 (65%)</t>
  </si>
  <si>
    <t xml:space="preserve">3/14 (21%)</t>
  </si>
  <si>
    <t xml:space="preserve">5/10 (50%)</t>
  </si>
  <si>
    <t xml:space="preserve">TEAM TOTAL</t>
  </si>
  <si>
    <t xml:space="preserve">Game #</t>
  </si>
  <si>
    <t xml:space="preserve">Date</t>
  </si>
  <si>
    <t xml:space="preserve">Opponent</t>
  </si>
  <si>
    <t xml:space="preserve">Result</t>
  </si>
  <si>
    <t xml:space="preserve">Min</t>
  </si>
  <si>
    <t xml:space="preserve">SoT</t>
  </si>
  <si>
    <t xml:space="preserve">xG</t>
  </si>
  <si>
    <t xml:space="preserve">xA</t>
  </si>
  <si>
    <t xml:space="preserve">Passes</t>
  </si>
  <si>
    <t xml:space="preserve">Pass %</t>
  </si>
  <si>
    <t xml:space="preserve">Touches Box</t>
  </si>
  <si>
    <t xml:space="preserve">Off Ball km</t>
  </si>
  <si>
    <t xml:space="preserve">Sprint m</t>
  </si>
  <si>
    <t xml:space="preserve">Top Speed</t>
  </si>
  <si>
    <t xml:space="preserve">Pressure</t>
  </si>
  <si>
    <t xml:space="preserve">Runs CC</t>
  </si>
  <si>
    <t xml:space="preserve">Prog Runs</t>
  </si>
  <si>
    <t xml:space="preserve">9/3</t>
  </si>
  <si>
    <t xml:space="preserve">Lasell</t>
  </si>
  <si>
    <t xml:space="preserve">W 3-1</t>
  </si>
  <si>
    <t xml:space="preserve">9/6</t>
  </si>
  <si>
    <t xml:space="preserve">Tufts</t>
  </si>
  <si>
    <t xml:space="preserve">L 1-2</t>
  </si>
  <si>
    <t xml:space="preserve">9/9</t>
  </si>
  <si>
    <t xml:space="preserve">MIT</t>
  </si>
  <si>
    <t xml:space="preserve">W 2-0</t>
  </si>
  <si>
    <t xml:space="preserve">9/13</t>
  </si>
  <si>
    <t xml:space="preserve">Babson</t>
  </si>
  <si>
    <t xml:space="preserve">D 1-1</t>
  </si>
  <si>
    <t xml:space="preserve">9/16</t>
  </si>
  <si>
    <t xml:space="preserve">Wesleyan</t>
  </si>
  <si>
    <t xml:space="preserve">W 2-1</t>
  </si>
  <si>
    <t xml:space="preserve">9/20</t>
  </si>
  <si>
    <t xml:space="preserve">Connecticut College</t>
  </si>
  <si>
    <t xml:space="preserve">W 4-0</t>
  </si>
  <si>
    <t xml:space="preserve">9/24</t>
  </si>
  <si>
    <t xml:space="preserve">Trinity</t>
  </si>
  <si>
    <t xml:space="preserve">L 0-1</t>
  </si>
  <si>
    <t xml:space="preserve">9/27</t>
  </si>
  <si>
    <t xml:space="preserve">Williams</t>
  </si>
  <si>
    <t xml:space="preserve">D 2-2</t>
  </si>
  <si>
    <t xml:space="preserve">10/1</t>
  </si>
  <si>
    <t xml:space="preserve">Amherst</t>
  </si>
  <si>
    <t xml:space="preserve">10/5</t>
  </si>
  <si>
    <t xml:space="preserve">Bowdoin</t>
  </si>
  <si>
    <t xml:space="preserve">W 3-2</t>
  </si>
  <si>
    <t xml:space="preserve">10/9</t>
  </si>
  <si>
    <t xml:space="preserve">Colby</t>
  </si>
  <si>
    <t xml:space="preserve">W 1-0</t>
  </si>
  <si>
    <t xml:space="preserve">10/12</t>
  </si>
  <si>
    <t xml:space="preserve">Bates</t>
  </si>
  <si>
    <t xml:space="preserve">10/16</t>
  </si>
  <si>
    <t xml:space="preserve">Middlebury</t>
  </si>
  <si>
    <t xml:space="preserve">L 1-3</t>
  </si>
  <si>
    <t xml:space="preserve">10/19</t>
  </si>
  <si>
    <t xml:space="preserve">Hamilton</t>
  </si>
  <si>
    <t xml:space="preserve">W 4-1</t>
  </si>
  <si>
    <t xml:space="preserve">10/23</t>
  </si>
  <si>
    <t xml:space="preserve">WashU</t>
  </si>
  <si>
    <t xml:space="preserve">10/27</t>
  </si>
  <si>
    <t xml:space="preserve">NYU</t>
  </si>
  <si>
    <t xml:space="preserve">11/2</t>
  </si>
  <si>
    <t xml:space="preserve">Emory</t>
  </si>
  <si>
    <t xml:space="preserve">11/9</t>
  </si>
  <si>
    <t xml:space="preserve">Chicago</t>
  </si>
  <si>
    <t xml:space="preserve">L 0-2</t>
  </si>
  <si>
    <t xml:space="preserve">SEASON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</si>
</sst>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"/>
    <numFmt numFmtId="167" formatCode="0\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2E7D32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63558"/>
        <bgColor rgb="FF333333"/>
      </patternFill>
    </fill>
    <fill>
      <patternFill patternType="solid">
        <fgColor rgb="FFF0F5FB"/>
        <bgColor rgb="FFFFFFFF"/>
      </patternFill>
    </fill>
    <fill>
      <patternFill patternType="solid">
        <fgColor rgb="FFFFF4D6"/>
        <bgColor rgb="FFF0F5FB"/>
      </patternFill>
    </fill>
    <fill>
      <patternFill patternType="solid">
        <fgColor rgb="FF4A99E0"/>
        <bgColor rgb="FF3366FF"/>
      </patternFill>
    </fill>
    <fill>
      <patternFill patternType="solid">
        <fgColor rgb="FF2E7D32"/>
        <bgColor rgb="FF008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4D6"/>
      <rgbColor rgb="FFF0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A99E0"/>
      <rgbColor rgb="FF99CC00"/>
      <rgbColor rgb="FFFFCC00"/>
      <rgbColor rgb="FFFF9900"/>
      <rgbColor rgb="FFFF6600"/>
      <rgbColor rgb="FF666699"/>
      <rgbColor rgb="FF969696"/>
      <rgbColor rgb="FF163558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32"/>
    <col collapsed="false" customWidth="true" hidden="false" outlineLevel="0" max="7" min="7" style="0" width="24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3" t="s">
        <v>13</v>
      </c>
    </row>
    <row r="3" customFormat="false" ht="15" hidden="false" customHeight="false" outlineLevel="0" collapsed="false">
      <c r="A3" s="4" t="s">
        <v>14</v>
      </c>
      <c r="B3" s="5" t="s">
        <v>15</v>
      </c>
      <c r="C3" s="4" t="s">
        <v>9</v>
      </c>
      <c r="D3" s="4" t="s">
        <v>16</v>
      </c>
      <c r="E3" s="4" t="s">
        <v>17</v>
      </c>
      <c r="F3" s="5" t="s">
        <v>18</v>
      </c>
      <c r="G3" s="5" t="s">
        <v>19</v>
      </c>
    </row>
    <row r="4" customFormat="false" ht="15" hidden="false" customHeight="false" outlineLevel="0" collapsed="false">
      <c r="A4" s="2" t="s">
        <v>20</v>
      </c>
      <c r="B4" s="3" t="s">
        <v>21</v>
      </c>
      <c r="C4" s="2" t="s">
        <v>9</v>
      </c>
      <c r="D4" s="2" t="s">
        <v>22</v>
      </c>
      <c r="E4" s="2" t="s">
        <v>23</v>
      </c>
      <c r="F4" s="3" t="s">
        <v>24</v>
      </c>
      <c r="G4" s="3" t="s">
        <v>25</v>
      </c>
    </row>
    <row r="5" customFormat="false" ht="15" hidden="false" customHeight="false" outlineLevel="0" collapsed="false">
      <c r="A5" s="4" t="s">
        <v>26</v>
      </c>
      <c r="B5" s="5" t="s">
        <v>27</v>
      </c>
      <c r="C5" s="4" t="s">
        <v>28</v>
      </c>
      <c r="D5" s="4" t="s">
        <v>29</v>
      </c>
      <c r="E5" s="4" t="s">
        <v>23</v>
      </c>
      <c r="F5" s="5" t="s">
        <v>30</v>
      </c>
      <c r="G5" s="5" t="s">
        <v>31</v>
      </c>
    </row>
    <row r="6" customFormat="false" ht="15" hidden="false" customHeight="false" outlineLevel="0" collapsed="false">
      <c r="A6" s="2" t="s">
        <v>32</v>
      </c>
      <c r="B6" s="3" t="s">
        <v>33</v>
      </c>
      <c r="C6" s="2" t="s">
        <v>34</v>
      </c>
      <c r="D6" s="2" t="s">
        <v>29</v>
      </c>
      <c r="E6" s="2" t="s">
        <v>35</v>
      </c>
      <c r="F6" s="3" t="s">
        <v>30</v>
      </c>
      <c r="G6" s="3" t="s">
        <v>36</v>
      </c>
    </row>
    <row r="7" customFormat="false" ht="15" hidden="false" customHeight="false" outlineLevel="0" collapsed="false">
      <c r="A7" s="4" t="s">
        <v>37</v>
      </c>
      <c r="B7" s="5" t="s">
        <v>38</v>
      </c>
      <c r="C7" s="4" t="s">
        <v>28</v>
      </c>
      <c r="D7" s="4" t="s">
        <v>39</v>
      </c>
      <c r="E7" s="4" t="s">
        <v>35</v>
      </c>
      <c r="F7" s="5" t="s">
        <v>30</v>
      </c>
      <c r="G7" s="5" t="s">
        <v>40</v>
      </c>
    </row>
    <row r="8" customFormat="false" ht="15" hidden="false" customHeight="false" outlineLevel="0" collapsed="false">
      <c r="A8" s="2" t="s">
        <v>41</v>
      </c>
      <c r="B8" s="3" t="s">
        <v>42</v>
      </c>
      <c r="C8" s="2" t="s">
        <v>34</v>
      </c>
      <c r="D8" s="2" t="s">
        <v>43</v>
      </c>
      <c r="E8" s="2" t="s">
        <v>35</v>
      </c>
      <c r="F8" s="3" t="s">
        <v>30</v>
      </c>
      <c r="G8" s="3" t="s">
        <v>44</v>
      </c>
    </row>
    <row r="9" customFormat="false" ht="15" hidden="false" customHeight="false" outlineLevel="0" collapsed="false">
      <c r="A9" s="4" t="s">
        <v>45</v>
      </c>
      <c r="B9" s="5" t="s">
        <v>46</v>
      </c>
      <c r="C9" s="4" t="s">
        <v>47</v>
      </c>
      <c r="D9" s="4" t="s">
        <v>29</v>
      </c>
      <c r="E9" s="4" t="s">
        <v>23</v>
      </c>
      <c r="F9" s="5" t="s">
        <v>30</v>
      </c>
      <c r="G9" s="5" t="s">
        <v>48</v>
      </c>
    </row>
    <row r="10" customFormat="false" ht="15" hidden="false" customHeight="false" outlineLevel="0" collapsed="false">
      <c r="A10" s="2" t="s">
        <v>49</v>
      </c>
      <c r="B10" s="3" t="s">
        <v>50</v>
      </c>
      <c r="C10" s="2" t="s">
        <v>51</v>
      </c>
      <c r="D10" s="2" t="s">
        <v>52</v>
      </c>
      <c r="E10" s="2" t="s">
        <v>23</v>
      </c>
      <c r="F10" s="3" t="s">
        <v>30</v>
      </c>
      <c r="G10" s="3" t="s">
        <v>53</v>
      </c>
    </row>
    <row r="11" customFormat="false" ht="15" hidden="false" customHeight="false" outlineLevel="0" collapsed="false">
      <c r="A11" s="4" t="s">
        <v>54</v>
      </c>
      <c r="B11" s="5" t="s">
        <v>55</v>
      </c>
      <c r="C11" s="4" t="s">
        <v>28</v>
      </c>
      <c r="D11" s="4" t="s">
        <v>52</v>
      </c>
      <c r="E11" s="4" t="s">
        <v>35</v>
      </c>
      <c r="F11" s="5" t="s">
        <v>18</v>
      </c>
      <c r="G11" s="5" t="s">
        <v>56</v>
      </c>
    </row>
    <row r="12" customFormat="false" ht="15" hidden="false" customHeight="false" outlineLevel="0" collapsed="false">
      <c r="A12" s="6" t="s">
        <v>57</v>
      </c>
      <c r="B12" s="7" t="s">
        <v>58</v>
      </c>
      <c r="C12" s="6" t="s">
        <v>51</v>
      </c>
      <c r="D12" s="6" t="s">
        <v>29</v>
      </c>
      <c r="E12" s="6" t="s">
        <v>59</v>
      </c>
      <c r="F12" s="7" t="s">
        <v>60</v>
      </c>
      <c r="G12" s="7" t="s">
        <v>61</v>
      </c>
    </row>
    <row r="13" customFormat="false" ht="15" hidden="false" customHeight="false" outlineLevel="0" collapsed="false">
      <c r="A13" s="4" t="s">
        <v>62</v>
      </c>
      <c r="B13" s="5" t="s">
        <v>63</v>
      </c>
      <c r="C13" s="4" t="s">
        <v>28</v>
      </c>
      <c r="D13" s="4" t="s">
        <v>39</v>
      </c>
      <c r="E13" s="4" t="s">
        <v>59</v>
      </c>
      <c r="F13" s="5" t="s">
        <v>64</v>
      </c>
      <c r="G13" s="5" t="s">
        <v>65</v>
      </c>
    </row>
    <row r="14" customFormat="false" ht="15" hidden="false" customHeight="false" outlineLevel="0" collapsed="false">
      <c r="A14" s="2" t="s">
        <v>66</v>
      </c>
      <c r="B14" s="3" t="s">
        <v>67</v>
      </c>
      <c r="C14" s="2" t="s">
        <v>51</v>
      </c>
      <c r="D14" s="2" t="s">
        <v>16</v>
      </c>
      <c r="E14" s="2" t="s">
        <v>23</v>
      </c>
      <c r="F14" s="3" t="s">
        <v>68</v>
      </c>
      <c r="G14" s="3" t="s">
        <v>69</v>
      </c>
    </row>
    <row r="15" customFormat="false" ht="15" hidden="false" customHeight="false" outlineLevel="0" collapsed="false">
      <c r="A15" s="4" t="s">
        <v>70</v>
      </c>
      <c r="B15" s="5" t="s">
        <v>71</v>
      </c>
      <c r="C15" s="4" t="s">
        <v>28</v>
      </c>
      <c r="D15" s="4" t="s">
        <v>29</v>
      </c>
      <c r="E15" s="4" t="s">
        <v>59</v>
      </c>
      <c r="F15" s="5" t="s">
        <v>24</v>
      </c>
      <c r="G15" s="5" t="s">
        <v>72</v>
      </c>
    </row>
    <row r="16" customFormat="false" ht="15" hidden="false" customHeight="false" outlineLevel="0" collapsed="false">
      <c r="A16" s="2" t="s">
        <v>73</v>
      </c>
      <c r="B16" s="3" t="s">
        <v>74</v>
      </c>
      <c r="C16" s="2" t="s">
        <v>28</v>
      </c>
      <c r="D16" s="2" t="s">
        <v>75</v>
      </c>
      <c r="E16" s="2" t="s">
        <v>35</v>
      </c>
      <c r="F16" s="3" t="s">
        <v>18</v>
      </c>
      <c r="G16" s="3" t="s">
        <v>76</v>
      </c>
    </row>
    <row r="17" customFormat="false" ht="15" hidden="false" customHeight="false" outlineLevel="0" collapsed="false">
      <c r="A17" s="4" t="s">
        <v>77</v>
      </c>
      <c r="B17" s="5" t="s">
        <v>78</v>
      </c>
      <c r="C17" s="4" t="s">
        <v>51</v>
      </c>
      <c r="D17" s="4" t="s">
        <v>43</v>
      </c>
      <c r="E17" s="4" t="s">
        <v>17</v>
      </c>
      <c r="F17" s="5" t="s">
        <v>18</v>
      </c>
      <c r="G17" s="5" t="s">
        <v>79</v>
      </c>
    </row>
    <row r="18" customFormat="false" ht="15" hidden="false" customHeight="false" outlineLevel="0" collapsed="false">
      <c r="A18" s="2" t="s">
        <v>80</v>
      </c>
      <c r="B18" s="3" t="s">
        <v>81</v>
      </c>
      <c r="C18" s="2" t="s">
        <v>51</v>
      </c>
      <c r="D18" s="2" t="s">
        <v>82</v>
      </c>
      <c r="E18" s="2" t="s">
        <v>35</v>
      </c>
      <c r="F18" s="3" t="s">
        <v>83</v>
      </c>
      <c r="G18" s="3" t="s">
        <v>44</v>
      </c>
    </row>
    <row r="19" customFormat="false" ht="15" hidden="false" customHeight="false" outlineLevel="0" collapsed="false">
      <c r="A19" s="4" t="s">
        <v>84</v>
      </c>
      <c r="B19" s="5" t="s">
        <v>85</v>
      </c>
      <c r="C19" s="4" t="s">
        <v>34</v>
      </c>
      <c r="D19" s="4" t="s">
        <v>82</v>
      </c>
      <c r="E19" s="4" t="s">
        <v>59</v>
      </c>
      <c r="F19" s="5" t="s">
        <v>30</v>
      </c>
      <c r="G19" s="5" t="s">
        <v>86</v>
      </c>
    </row>
    <row r="20" customFormat="false" ht="15" hidden="false" customHeight="false" outlineLevel="0" collapsed="false">
      <c r="A20" s="2" t="s">
        <v>87</v>
      </c>
      <c r="B20" s="3" t="s">
        <v>88</v>
      </c>
      <c r="C20" s="2" t="s">
        <v>28</v>
      </c>
      <c r="D20" s="2" t="s">
        <v>39</v>
      </c>
      <c r="E20" s="2" t="s">
        <v>59</v>
      </c>
      <c r="F20" s="3" t="s">
        <v>30</v>
      </c>
      <c r="G20" s="3" t="s">
        <v>89</v>
      </c>
    </row>
    <row r="21" customFormat="false" ht="15" hidden="false" customHeight="false" outlineLevel="0" collapsed="false">
      <c r="A21" s="4" t="s">
        <v>90</v>
      </c>
      <c r="B21" s="5" t="s">
        <v>91</v>
      </c>
      <c r="C21" s="4" t="s">
        <v>28</v>
      </c>
      <c r="D21" s="4" t="s">
        <v>29</v>
      </c>
      <c r="E21" s="4" t="s">
        <v>23</v>
      </c>
      <c r="F21" s="5" t="s">
        <v>64</v>
      </c>
      <c r="G21" s="5" t="s">
        <v>92</v>
      </c>
    </row>
    <row r="22" customFormat="false" ht="15" hidden="false" customHeight="false" outlineLevel="0" collapsed="false">
      <c r="A22" s="2" t="s">
        <v>93</v>
      </c>
      <c r="B22" s="3" t="s">
        <v>94</v>
      </c>
      <c r="C22" s="2" t="s">
        <v>51</v>
      </c>
      <c r="D22" s="2" t="s">
        <v>39</v>
      </c>
      <c r="E22" s="2" t="s">
        <v>59</v>
      </c>
      <c r="F22" s="3" t="s">
        <v>95</v>
      </c>
      <c r="G22" s="3" t="s">
        <v>96</v>
      </c>
    </row>
    <row r="23" customFormat="false" ht="15" hidden="false" customHeight="false" outlineLevel="0" collapsed="false">
      <c r="A23" s="4" t="s">
        <v>97</v>
      </c>
      <c r="B23" s="5" t="s">
        <v>98</v>
      </c>
      <c r="C23" s="4" t="s">
        <v>28</v>
      </c>
      <c r="D23" s="4" t="s">
        <v>16</v>
      </c>
      <c r="E23" s="4" t="s">
        <v>23</v>
      </c>
      <c r="F23" s="5" t="s">
        <v>99</v>
      </c>
      <c r="G23" s="5" t="s">
        <v>100</v>
      </c>
    </row>
    <row r="24" customFormat="false" ht="15" hidden="false" customHeight="false" outlineLevel="0" collapsed="false">
      <c r="A24" s="2" t="s">
        <v>101</v>
      </c>
      <c r="B24" s="3" t="s">
        <v>102</v>
      </c>
      <c r="C24" s="2" t="s">
        <v>34</v>
      </c>
      <c r="D24" s="2" t="s">
        <v>22</v>
      </c>
      <c r="E24" s="2" t="s">
        <v>35</v>
      </c>
      <c r="F24" s="3" t="s">
        <v>64</v>
      </c>
      <c r="G24" s="3" t="s">
        <v>103</v>
      </c>
    </row>
    <row r="25" customFormat="false" ht="15" hidden="false" customHeight="false" outlineLevel="0" collapsed="false">
      <c r="A25" s="4" t="s">
        <v>104</v>
      </c>
      <c r="B25" s="5" t="s">
        <v>105</v>
      </c>
      <c r="C25" s="4" t="s">
        <v>28</v>
      </c>
      <c r="D25" s="4" t="s">
        <v>16</v>
      </c>
      <c r="E25" s="4" t="s">
        <v>17</v>
      </c>
      <c r="F25" s="5" t="s">
        <v>18</v>
      </c>
      <c r="G25" s="5" t="s">
        <v>106</v>
      </c>
    </row>
    <row r="26" customFormat="false" ht="15" hidden="false" customHeight="false" outlineLevel="0" collapsed="false">
      <c r="A26" s="2" t="s">
        <v>107</v>
      </c>
      <c r="B26" s="3" t="s">
        <v>108</v>
      </c>
      <c r="C26" s="2" t="s">
        <v>34</v>
      </c>
      <c r="D26" s="2" t="s">
        <v>43</v>
      </c>
      <c r="E26" s="2" t="s">
        <v>35</v>
      </c>
      <c r="F26" s="3" t="s">
        <v>30</v>
      </c>
      <c r="G26" s="3" t="s">
        <v>109</v>
      </c>
    </row>
    <row r="27" customFormat="false" ht="15" hidden="false" customHeight="false" outlineLevel="0" collapsed="false">
      <c r="A27" s="4" t="s">
        <v>110</v>
      </c>
      <c r="B27" s="5" t="s">
        <v>111</v>
      </c>
      <c r="C27" s="4" t="s">
        <v>34</v>
      </c>
      <c r="D27" s="4" t="s">
        <v>75</v>
      </c>
      <c r="E27" s="4" t="s">
        <v>35</v>
      </c>
      <c r="F27" s="5" t="s">
        <v>64</v>
      </c>
      <c r="G27" s="5" t="s">
        <v>112</v>
      </c>
    </row>
    <row r="28" customFormat="false" ht="15" hidden="false" customHeight="false" outlineLevel="0" collapsed="false">
      <c r="A28" s="2" t="s">
        <v>113</v>
      </c>
      <c r="B28" s="3" t="s">
        <v>114</v>
      </c>
      <c r="C28" s="2" t="s">
        <v>34</v>
      </c>
      <c r="D28" s="2" t="s">
        <v>16</v>
      </c>
      <c r="E28" s="2" t="s">
        <v>35</v>
      </c>
      <c r="F28" s="3" t="s">
        <v>18</v>
      </c>
      <c r="G28" s="3" t="s">
        <v>61</v>
      </c>
    </row>
    <row r="29" customFormat="false" ht="15" hidden="false" customHeight="false" outlineLevel="0" collapsed="false">
      <c r="A29" s="4" t="s">
        <v>115</v>
      </c>
      <c r="B29" s="5" t="s">
        <v>116</v>
      </c>
      <c r="C29" s="4" t="s">
        <v>51</v>
      </c>
      <c r="D29" s="4" t="s">
        <v>117</v>
      </c>
      <c r="E29" s="4" t="s">
        <v>23</v>
      </c>
      <c r="F29" s="5" t="s">
        <v>64</v>
      </c>
      <c r="G29" s="5" t="s">
        <v>118</v>
      </c>
    </row>
    <row r="30" customFormat="false" ht="15" hidden="false" customHeight="false" outlineLevel="0" collapsed="false">
      <c r="A30" s="2" t="s">
        <v>119</v>
      </c>
      <c r="B30" s="3" t="s">
        <v>120</v>
      </c>
      <c r="C30" s="2" t="s">
        <v>9</v>
      </c>
      <c r="D30" s="2" t="s">
        <v>10</v>
      </c>
      <c r="E30" s="2" t="s">
        <v>59</v>
      </c>
      <c r="F30" s="3" t="s">
        <v>121</v>
      </c>
      <c r="G30" s="3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13" min="4" style="0" width="11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7" min="16" style="0" width="13"/>
    <col collapsed="false" customWidth="true" hidden="false" outlineLevel="0" max="19" min="18" style="0" width="14"/>
    <col collapsed="false" customWidth="true" hidden="false" outlineLevel="0" max="20" min="20" style="0" width="16"/>
    <col collapsed="false" customWidth="true" hidden="false" outlineLevel="0" max="21" min="21" style="0" width="18"/>
    <col collapsed="false" customWidth="true" hidden="false" outlineLevel="0" max="22" min="22" style="0" width="11"/>
    <col collapsed="false" customWidth="true" hidden="false" outlineLevel="0" max="23" min="23" style="0" width="14"/>
    <col collapsed="false" customWidth="true" hidden="false" outlineLevel="0" max="25" min="24" style="0" width="16"/>
    <col collapsed="false" customWidth="true" hidden="false" outlineLevel="0" max="26" min="26" style="0" width="15"/>
    <col collapsed="false" customWidth="true" hidden="false" outlineLevel="0" max="27" min="27" style="0" width="11"/>
    <col collapsed="false" customWidth="true" hidden="false" outlineLevel="0" max="28" min="28" style="0" width="13"/>
    <col collapsed="false" customWidth="true" hidden="false" outlineLevel="0" max="30" min="29" style="0" width="15"/>
    <col collapsed="false" customWidth="true" hidden="false" outlineLevel="0" max="31" min="31" style="0" width="12"/>
    <col collapsed="false" customWidth="true" hidden="false" outlineLevel="0" max="32" min="32" style="0" width="14"/>
    <col collapsed="false" customWidth="true" hidden="false" outlineLevel="0" max="33" min="33" style="0" width="11"/>
    <col collapsed="false" customWidth="true" hidden="false" outlineLevel="0" max="34" min="34" style="0" width="13"/>
    <col collapsed="false" customWidth="true" hidden="false" outlineLevel="0" max="35" min="35" style="0" width="12"/>
    <col collapsed="false" customWidth="true" hidden="false" outlineLevel="0" max="36" min="36" style="0" width="13"/>
    <col collapsed="false" customWidth="true" hidden="false" outlineLevel="0" max="37" min="37" style="0" width="17"/>
    <col collapsed="false" customWidth="true" hidden="false" outlineLevel="0" max="38" min="38" style="0" width="15"/>
    <col collapsed="false" customWidth="true" hidden="false" outlineLevel="0" max="39" min="39" style="0" width="13"/>
    <col collapsed="false" customWidth="true" hidden="false" outlineLevel="0" max="40" min="40" style="0" width="14"/>
    <col collapsed="false" customWidth="true" hidden="false" outlineLevel="0" max="41" min="41" style="0" width="17"/>
    <col collapsed="false" customWidth="true" hidden="false" outlineLevel="0" max="42" min="42" style="0" width="16"/>
    <col collapsed="false" customWidth="true" hidden="false" outlineLevel="0" max="43" min="43" style="0" width="15"/>
    <col collapsed="false" customWidth="true" hidden="false" outlineLevel="0" max="44" min="44" style="0" width="18"/>
    <col collapsed="false" customWidth="true" hidden="false" outlineLevel="0" max="45" min="45" style="0" width="11"/>
  </cols>
  <sheetData>
    <row r="1" customFormat="false" ht="21.75" hidden="false" customHeight="true" outlineLevel="0" collapsed="false">
      <c r="A1" s="8" t="s">
        <v>123</v>
      </c>
      <c r="B1" s="8"/>
      <c r="C1" s="8"/>
      <c r="D1" s="8"/>
      <c r="E1" s="8"/>
      <c r="F1" s="8"/>
      <c r="G1" s="8"/>
      <c r="H1" s="9" t="s">
        <v>124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 t="s">
        <v>125</v>
      </c>
      <c r="W1" s="9"/>
      <c r="X1" s="9"/>
      <c r="Y1" s="9"/>
      <c r="Z1" s="9"/>
      <c r="AA1" s="9"/>
      <c r="AB1" s="9"/>
      <c r="AC1" s="9" t="s">
        <v>126</v>
      </c>
      <c r="AD1" s="9"/>
      <c r="AE1" s="9"/>
      <c r="AF1" s="9"/>
      <c r="AG1" s="9" t="s">
        <v>127</v>
      </c>
      <c r="AH1" s="9"/>
      <c r="AI1" s="9"/>
      <c r="AJ1" s="9"/>
      <c r="AK1" s="10" t="s">
        <v>128</v>
      </c>
      <c r="AL1" s="10"/>
      <c r="AM1" s="10"/>
      <c r="AN1" s="10"/>
      <c r="AO1" s="10"/>
      <c r="AP1" s="10"/>
      <c r="AQ1" s="10"/>
      <c r="AR1" s="10"/>
      <c r="AS1" s="1" t="s">
        <v>129</v>
      </c>
    </row>
    <row r="2" customFormat="false" ht="36" hidden="false" customHeight="true" outlineLevel="0" collapsed="false">
      <c r="A2" s="11" t="s">
        <v>0</v>
      </c>
      <c r="B2" s="11" t="s">
        <v>1</v>
      </c>
      <c r="C2" s="11" t="s">
        <v>2</v>
      </c>
      <c r="D2" s="11" t="s">
        <v>4</v>
      </c>
      <c r="E2" s="11" t="s">
        <v>130</v>
      </c>
      <c r="F2" s="11" t="s">
        <v>131</v>
      </c>
      <c r="G2" s="11" t="s">
        <v>132</v>
      </c>
      <c r="H2" s="12" t="s">
        <v>133</v>
      </c>
      <c r="I2" s="12" t="s">
        <v>134</v>
      </c>
      <c r="J2" s="12" t="s">
        <v>135</v>
      </c>
      <c r="K2" s="12" t="s">
        <v>136</v>
      </c>
      <c r="L2" s="12" t="s">
        <v>137</v>
      </c>
      <c r="M2" s="12" t="s">
        <v>138</v>
      </c>
      <c r="N2" s="12" t="s">
        <v>139</v>
      </c>
      <c r="O2" s="12" t="s">
        <v>140</v>
      </c>
      <c r="P2" s="12" t="s">
        <v>141</v>
      </c>
      <c r="Q2" s="12" t="s">
        <v>142</v>
      </c>
      <c r="R2" s="12" t="s">
        <v>143</v>
      </c>
      <c r="S2" s="12" t="s">
        <v>144</v>
      </c>
      <c r="T2" s="12" t="s">
        <v>145</v>
      </c>
      <c r="U2" s="12" t="s">
        <v>146</v>
      </c>
      <c r="V2" s="12" t="s">
        <v>147</v>
      </c>
      <c r="W2" s="12" t="s">
        <v>148</v>
      </c>
      <c r="X2" s="12" t="s">
        <v>149</v>
      </c>
      <c r="Y2" s="12" t="s">
        <v>150</v>
      </c>
      <c r="Z2" s="12" t="s">
        <v>151</v>
      </c>
      <c r="AA2" s="12" t="s">
        <v>152</v>
      </c>
      <c r="AB2" s="12" t="s">
        <v>153</v>
      </c>
      <c r="AC2" s="12" t="s">
        <v>154</v>
      </c>
      <c r="AD2" s="12" t="s">
        <v>155</v>
      </c>
      <c r="AE2" s="12" t="s">
        <v>156</v>
      </c>
      <c r="AF2" s="12" t="s">
        <v>157</v>
      </c>
      <c r="AG2" s="12" t="s">
        <v>158</v>
      </c>
      <c r="AH2" s="12" t="s">
        <v>159</v>
      </c>
      <c r="AI2" s="12" t="s">
        <v>160</v>
      </c>
      <c r="AJ2" s="12" t="s">
        <v>161</v>
      </c>
      <c r="AK2" s="13" t="s">
        <v>162</v>
      </c>
      <c r="AL2" s="13" t="s">
        <v>163</v>
      </c>
      <c r="AM2" s="13" t="s">
        <v>164</v>
      </c>
      <c r="AN2" s="13" t="s">
        <v>165</v>
      </c>
      <c r="AO2" s="13" t="s">
        <v>166</v>
      </c>
      <c r="AP2" s="13" t="s">
        <v>167</v>
      </c>
      <c r="AQ2" s="13" t="s">
        <v>168</v>
      </c>
      <c r="AR2" s="13" t="s">
        <v>169</v>
      </c>
      <c r="AS2" s="11" t="s">
        <v>170</v>
      </c>
    </row>
    <row r="3" customFormat="false" ht="15" hidden="false" customHeight="false" outlineLevel="0" collapsed="false">
      <c r="A3" s="4" t="s">
        <v>7</v>
      </c>
      <c r="B3" s="5" t="s">
        <v>8</v>
      </c>
      <c r="C3" s="4" t="s">
        <v>9</v>
      </c>
      <c r="D3" s="4" t="s">
        <v>11</v>
      </c>
      <c r="E3" s="4" t="n">
        <v>10</v>
      </c>
      <c r="F3" s="4" t="n">
        <v>4</v>
      </c>
      <c r="G3" s="4" t="n">
        <v>590</v>
      </c>
      <c r="H3" s="4" t="n">
        <v>0</v>
      </c>
      <c r="I3" s="4" t="n">
        <v>0</v>
      </c>
      <c r="J3" s="14" t="n">
        <v>0</v>
      </c>
      <c r="K3" s="14" t="n">
        <v>0</v>
      </c>
      <c r="L3" s="14" t="n">
        <v>0.12</v>
      </c>
      <c r="M3" s="4" t="n">
        <v>0</v>
      </c>
      <c r="N3" s="4" t="n">
        <v>0</v>
      </c>
      <c r="O3" s="4" t="n">
        <v>0</v>
      </c>
      <c r="P3" s="4" t="n">
        <v>0</v>
      </c>
      <c r="Q3" s="4" t="s">
        <v>171</v>
      </c>
      <c r="R3" s="4" t="s">
        <v>172</v>
      </c>
      <c r="S3" s="4" t="n">
        <v>0</v>
      </c>
      <c r="T3" s="4" t="n">
        <v>0</v>
      </c>
      <c r="U3" s="4" t="n">
        <v>12</v>
      </c>
      <c r="V3" s="4" t="n">
        <v>251</v>
      </c>
      <c r="W3" s="4" t="n">
        <v>0</v>
      </c>
      <c r="X3" s="4" t="s">
        <v>171</v>
      </c>
      <c r="Y3" s="4" t="n">
        <v>22</v>
      </c>
      <c r="Z3" s="4" t="s">
        <v>171</v>
      </c>
      <c r="AA3" s="4" t="n">
        <v>0</v>
      </c>
      <c r="AB3" s="4" t="n">
        <v>3</v>
      </c>
      <c r="AC3" s="4" t="s">
        <v>173</v>
      </c>
      <c r="AD3" s="4" t="s">
        <v>174</v>
      </c>
      <c r="AE3" s="4" t="n">
        <v>0</v>
      </c>
      <c r="AF3" s="4" t="n">
        <v>0</v>
      </c>
      <c r="AG3" s="4" t="n">
        <v>1</v>
      </c>
      <c r="AH3" s="4" t="n">
        <v>6</v>
      </c>
      <c r="AI3" s="4" t="n">
        <v>15</v>
      </c>
      <c r="AJ3" s="4" t="n">
        <v>2</v>
      </c>
      <c r="AK3" s="15" t="n">
        <v>39.7</v>
      </c>
      <c r="AL3" s="4" t="n">
        <v>2610</v>
      </c>
      <c r="AM3" s="15" t="n">
        <v>26.6</v>
      </c>
      <c r="AN3" s="4" t="n">
        <v>0</v>
      </c>
      <c r="AO3" s="4" t="n">
        <v>0</v>
      </c>
      <c r="AP3" s="15" t="n">
        <v>0.2</v>
      </c>
      <c r="AQ3" s="4" t="n">
        <v>0</v>
      </c>
      <c r="AR3" s="15" t="n">
        <v>4.1</v>
      </c>
      <c r="AS3" s="15" t="n">
        <v>6.8</v>
      </c>
    </row>
    <row r="4" customFormat="false" ht="15" hidden="false" customHeight="false" outlineLevel="0" collapsed="false">
      <c r="A4" s="2" t="s">
        <v>14</v>
      </c>
      <c r="B4" s="3" t="s">
        <v>15</v>
      </c>
      <c r="C4" s="2" t="s">
        <v>9</v>
      </c>
      <c r="D4" s="2" t="s">
        <v>17</v>
      </c>
      <c r="E4" s="2" t="n">
        <v>13</v>
      </c>
      <c r="F4" s="2" t="n">
        <v>3</v>
      </c>
      <c r="G4" s="2" t="n">
        <v>546</v>
      </c>
      <c r="H4" s="2" t="n">
        <v>0</v>
      </c>
      <c r="I4" s="2" t="n">
        <v>0</v>
      </c>
      <c r="J4" s="16" t="n">
        <v>0</v>
      </c>
      <c r="K4" s="16" t="n">
        <v>0</v>
      </c>
      <c r="L4" s="16" t="n">
        <v>0.29</v>
      </c>
      <c r="M4" s="2" t="n">
        <v>0</v>
      </c>
      <c r="N4" s="2" t="n">
        <v>0</v>
      </c>
      <c r="O4" s="2" t="n">
        <v>0</v>
      </c>
      <c r="P4" s="2" t="n">
        <v>0</v>
      </c>
      <c r="Q4" s="2" t="s">
        <v>171</v>
      </c>
      <c r="R4" s="2" t="s">
        <v>175</v>
      </c>
      <c r="S4" s="2" t="n">
        <v>0</v>
      </c>
      <c r="T4" s="2" t="n">
        <v>0</v>
      </c>
      <c r="U4" s="2" t="n">
        <v>19</v>
      </c>
      <c r="V4" s="2" t="n">
        <v>216</v>
      </c>
      <c r="W4" s="2" t="n">
        <v>0</v>
      </c>
      <c r="X4" s="2" t="s">
        <v>171</v>
      </c>
      <c r="Y4" s="2" t="n">
        <v>21</v>
      </c>
      <c r="Z4" s="2" t="s">
        <v>171</v>
      </c>
      <c r="AA4" s="2" t="n">
        <v>0</v>
      </c>
      <c r="AB4" s="2" t="n">
        <v>3</v>
      </c>
      <c r="AC4" s="2" t="s">
        <v>176</v>
      </c>
      <c r="AD4" s="2" t="s">
        <v>177</v>
      </c>
      <c r="AE4" s="2" t="n">
        <v>3</v>
      </c>
      <c r="AF4" s="2" t="n">
        <v>2</v>
      </c>
      <c r="AG4" s="2" t="n">
        <v>2</v>
      </c>
      <c r="AH4" s="2" t="n">
        <v>5</v>
      </c>
      <c r="AI4" s="2" t="n">
        <v>9</v>
      </c>
      <c r="AJ4" s="2" t="n">
        <v>0</v>
      </c>
      <c r="AK4" s="17" t="n">
        <v>50.5</v>
      </c>
      <c r="AL4" s="2" t="n">
        <v>4771</v>
      </c>
      <c r="AM4" s="17" t="n">
        <v>22</v>
      </c>
      <c r="AN4" s="2" t="n">
        <v>52</v>
      </c>
      <c r="AO4" s="2" t="n">
        <v>0</v>
      </c>
      <c r="AP4" s="17" t="n">
        <v>0.2</v>
      </c>
      <c r="AQ4" s="2" t="n">
        <v>0</v>
      </c>
      <c r="AR4" s="17" t="n">
        <v>4.8</v>
      </c>
      <c r="AS4" s="17" t="n">
        <v>6.1</v>
      </c>
    </row>
    <row r="5" customFormat="false" ht="15" hidden="false" customHeight="false" outlineLevel="0" collapsed="false">
      <c r="A5" s="4" t="s">
        <v>20</v>
      </c>
      <c r="B5" s="5" t="s">
        <v>21</v>
      </c>
      <c r="C5" s="4" t="s">
        <v>9</v>
      </c>
      <c r="D5" s="4" t="s">
        <v>23</v>
      </c>
      <c r="E5" s="4" t="n">
        <v>15</v>
      </c>
      <c r="F5" s="4" t="n">
        <v>8</v>
      </c>
      <c r="G5" s="4" t="n">
        <v>930</v>
      </c>
      <c r="H5" s="4" t="n">
        <v>0</v>
      </c>
      <c r="I5" s="4" t="n">
        <v>0</v>
      </c>
      <c r="J5" s="14" t="n">
        <v>0</v>
      </c>
      <c r="K5" s="14" t="n">
        <v>0</v>
      </c>
      <c r="L5" s="14" t="n">
        <v>0.16</v>
      </c>
      <c r="M5" s="4" t="n">
        <v>0</v>
      </c>
      <c r="N5" s="4" t="n">
        <v>0</v>
      </c>
      <c r="O5" s="4" t="n">
        <v>0</v>
      </c>
      <c r="P5" s="4" t="n">
        <v>0</v>
      </c>
      <c r="Q5" s="4" t="s">
        <v>171</v>
      </c>
      <c r="R5" s="4" t="s">
        <v>178</v>
      </c>
      <c r="S5" s="4" t="n">
        <v>0</v>
      </c>
      <c r="T5" s="4" t="n">
        <v>0</v>
      </c>
      <c r="U5" s="4" t="n">
        <v>17</v>
      </c>
      <c r="V5" s="4" t="n">
        <v>359</v>
      </c>
      <c r="W5" s="4" t="n">
        <v>0</v>
      </c>
      <c r="X5" s="4" t="s">
        <v>171</v>
      </c>
      <c r="Y5" s="4" t="n">
        <v>16</v>
      </c>
      <c r="Z5" s="4" t="s">
        <v>171</v>
      </c>
      <c r="AA5" s="4" t="n">
        <v>0</v>
      </c>
      <c r="AB5" s="4" t="n">
        <v>3</v>
      </c>
      <c r="AC5" s="4" t="s">
        <v>179</v>
      </c>
      <c r="AD5" s="4" t="s">
        <v>180</v>
      </c>
      <c r="AE5" s="4" t="n">
        <v>3</v>
      </c>
      <c r="AF5" s="4" t="n">
        <v>1</v>
      </c>
      <c r="AG5" s="4" t="n">
        <v>0</v>
      </c>
      <c r="AH5" s="4" t="n">
        <v>2</v>
      </c>
      <c r="AI5" s="4" t="n">
        <v>20</v>
      </c>
      <c r="AJ5" s="4" t="n">
        <v>0</v>
      </c>
      <c r="AK5" s="15" t="n">
        <v>45.4</v>
      </c>
      <c r="AL5" s="4" t="n">
        <v>4545</v>
      </c>
      <c r="AM5" s="15" t="n">
        <v>24.3</v>
      </c>
      <c r="AN5" s="4" t="n">
        <v>30</v>
      </c>
      <c r="AO5" s="4" t="n">
        <v>0</v>
      </c>
      <c r="AP5" s="15" t="n">
        <v>0.6</v>
      </c>
      <c r="AQ5" s="4" t="n">
        <v>0</v>
      </c>
      <c r="AR5" s="15" t="n">
        <v>4.5</v>
      </c>
      <c r="AS5" s="15" t="n">
        <v>6.5</v>
      </c>
    </row>
    <row r="6" customFormat="false" ht="15" hidden="false" customHeight="false" outlineLevel="0" collapsed="false">
      <c r="A6" s="2" t="s">
        <v>26</v>
      </c>
      <c r="B6" s="3" t="s">
        <v>27</v>
      </c>
      <c r="C6" s="2" t="s">
        <v>28</v>
      </c>
      <c r="D6" s="2" t="s">
        <v>23</v>
      </c>
      <c r="E6" s="2" t="n">
        <v>15</v>
      </c>
      <c r="F6" s="2" t="n">
        <v>8</v>
      </c>
      <c r="G6" s="2" t="n">
        <v>945</v>
      </c>
      <c r="H6" s="2" t="n">
        <v>3</v>
      </c>
      <c r="I6" s="2" t="n">
        <v>3</v>
      </c>
      <c r="J6" s="16" t="n">
        <v>1.04</v>
      </c>
      <c r="K6" s="16" t="n">
        <v>2.71</v>
      </c>
      <c r="L6" s="16" t="n">
        <v>2.51</v>
      </c>
      <c r="M6" s="2" t="n">
        <v>24</v>
      </c>
      <c r="N6" s="2" t="n">
        <v>5</v>
      </c>
      <c r="O6" s="2" t="n">
        <v>15</v>
      </c>
      <c r="P6" s="2" t="n">
        <v>4</v>
      </c>
      <c r="Q6" s="2" t="s">
        <v>181</v>
      </c>
      <c r="R6" s="2" t="s">
        <v>182</v>
      </c>
      <c r="S6" s="2" t="n">
        <v>10</v>
      </c>
      <c r="T6" s="2" t="n">
        <v>3</v>
      </c>
      <c r="U6" s="2" t="n">
        <v>94</v>
      </c>
      <c r="V6" s="2" t="n">
        <v>1059</v>
      </c>
      <c r="W6" s="2" t="n">
        <v>45</v>
      </c>
      <c r="X6" s="2" t="s">
        <v>183</v>
      </c>
      <c r="Y6" s="2" t="n">
        <v>64</v>
      </c>
      <c r="Z6" s="2" t="s">
        <v>184</v>
      </c>
      <c r="AA6" s="2" t="n">
        <v>5</v>
      </c>
      <c r="AB6" s="2" t="n">
        <v>18</v>
      </c>
      <c r="AC6" s="2" t="s">
        <v>185</v>
      </c>
      <c r="AD6" s="2" t="s">
        <v>186</v>
      </c>
      <c r="AE6" s="2" t="n">
        <v>26</v>
      </c>
      <c r="AF6" s="2" t="n">
        <v>11</v>
      </c>
      <c r="AG6" s="2" t="n">
        <v>30</v>
      </c>
      <c r="AH6" s="2" t="n">
        <v>27</v>
      </c>
      <c r="AI6" s="2" t="n">
        <v>75</v>
      </c>
      <c r="AJ6" s="2" t="n">
        <v>9</v>
      </c>
      <c r="AK6" s="17" t="n">
        <v>169.2</v>
      </c>
      <c r="AL6" s="2" t="n">
        <v>18075</v>
      </c>
      <c r="AM6" s="17" t="n">
        <v>32.8</v>
      </c>
      <c r="AN6" s="2" t="n">
        <v>210</v>
      </c>
      <c r="AO6" s="2" t="n">
        <v>22</v>
      </c>
      <c r="AP6" s="17" t="n">
        <v>7.5</v>
      </c>
      <c r="AQ6" s="2" t="n">
        <v>50</v>
      </c>
      <c r="AR6" s="17" t="n">
        <v>6.7</v>
      </c>
      <c r="AS6" s="17" t="n">
        <v>7.1</v>
      </c>
    </row>
    <row r="7" customFormat="false" ht="15" hidden="false" customHeight="false" outlineLevel="0" collapsed="false">
      <c r="A7" s="4" t="s">
        <v>32</v>
      </c>
      <c r="B7" s="5" t="s">
        <v>33</v>
      </c>
      <c r="C7" s="4" t="s">
        <v>34</v>
      </c>
      <c r="D7" s="4" t="s">
        <v>35</v>
      </c>
      <c r="E7" s="4" t="n">
        <v>12</v>
      </c>
      <c r="F7" s="4" t="n">
        <v>5</v>
      </c>
      <c r="G7" s="4" t="n">
        <v>516</v>
      </c>
      <c r="H7" s="4" t="n">
        <v>1</v>
      </c>
      <c r="I7" s="4" t="n">
        <v>0</v>
      </c>
      <c r="J7" s="14" t="n">
        <v>0.56</v>
      </c>
      <c r="K7" s="14" t="n">
        <v>0.26</v>
      </c>
      <c r="L7" s="14" t="n">
        <v>1.17</v>
      </c>
      <c r="M7" s="4" t="n">
        <v>2</v>
      </c>
      <c r="N7" s="4" t="n">
        <v>0</v>
      </c>
      <c r="O7" s="4" t="n">
        <v>2</v>
      </c>
      <c r="P7" s="4" t="n">
        <v>0</v>
      </c>
      <c r="Q7" s="4" t="s">
        <v>187</v>
      </c>
      <c r="R7" s="4" t="s">
        <v>188</v>
      </c>
      <c r="S7" s="4" t="n">
        <v>9</v>
      </c>
      <c r="T7" s="4" t="n">
        <v>0</v>
      </c>
      <c r="U7" s="4" t="n">
        <v>78</v>
      </c>
      <c r="V7" s="4" t="n">
        <v>453</v>
      </c>
      <c r="W7" s="4" t="n">
        <v>8</v>
      </c>
      <c r="X7" s="4" t="s">
        <v>189</v>
      </c>
      <c r="Y7" s="4" t="n">
        <v>31</v>
      </c>
      <c r="Z7" s="4" t="s">
        <v>190</v>
      </c>
      <c r="AA7" s="4" t="n">
        <v>2</v>
      </c>
      <c r="AB7" s="4" t="n">
        <v>9</v>
      </c>
      <c r="AC7" s="4" t="s">
        <v>191</v>
      </c>
      <c r="AD7" s="4" t="s">
        <v>192</v>
      </c>
      <c r="AE7" s="4" t="n">
        <v>19</v>
      </c>
      <c r="AF7" s="4" t="n">
        <v>10</v>
      </c>
      <c r="AG7" s="4" t="n">
        <v>20</v>
      </c>
      <c r="AH7" s="4" t="n">
        <v>18</v>
      </c>
      <c r="AI7" s="4" t="n">
        <v>66</v>
      </c>
      <c r="AJ7" s="4" t="n">
        <v>15</v>
      </c>
      <c r="AK7" s="15" t="n">
        <v>107.9</v>
      </c>
      <c r="AL7" s="4" t="n">
        <v>13296</v>
      </c>
      <c r="AM7" s="15" t="n">
        <v>28.1</v>
      </c>
      <c r="AN7" s="4" t="n">
        <v>178</v>
      </c>
      <c r="AO7" s="4" t="n">
        <v>6</v>
      </c>
      <c r="AP7" s="15" t="n">
        <v>4.1</v>
      </c>
      <c r="AQ7" s="4" t="n">
        <v>11</v>
      </c>
      <c r="AR7" s="15" t="n">
        <v>11.2</v>
      </c>
      <c r="AS7" s="15" t="n">
        <v>6.6</v>
      </c>
    </row>
    <row r="8" customFormat="false" ht="15" hidden="false" customHeight="false" outlineLevel="0" collapsed="false">
      <c r="A8" s="2" t="s">
        <v>37</v>
      </c>
      <c r="B8" s="3" t="s">
        <v>38</v>
      </c>
      <c r="C8" s="2" t="s">
        <v>28</v>
      </c>
      <c r="D8" s="2" t="s">
        <v>35</v>
      </c>
      <c r="E8" s="2" t="n">
        <v>17</v>
      </c>
      <c r="F8" s="2" t="n">
        <v>9</v>
      </c>
      <c r="G8" s="2" t="n">
        <v>816</v>
      </c>
      <c r="H8" s="2" t="n">
        <v>1</v>
      </c>
      <c r="I8" s="2" t="n">
        <v>1</v>
      </c>
      <c r="J8" s="16" t="n">
        <v>3.12</v>
      </c>
      <c r="K8" s="16" t="n">
        <v>2.32</v>
      </c>
      <c r="L8" s="16" t="n">
        <v>1.35</v>
      </c>
      <c r="M8" s="2" t="n">
        <v>11</v>
      </c>
      <c r="N8" s="2" t="n">
        <v>7</v>
      </c>
      <c r="O8" s="2" t="n">
        <v>0</v>
      </c>
      <c r="P8" s="2" t="n">
        <v>4</v>
      </c>
      <c r="Q8" s="2" t="s">
        <v>193</v>
      </c>
      <c r="R8" s="2" t="s">
        <v>194</v>
      </c>
      <c r="S8" s="2" t="n">
        <v>14</v>
      </c>
      <c r="T8" s="2" t="n">
        <v>3</v>
      </c>
      <c r="U8" s="2" t="n">
        <v>116</v>
      </c>
      <c r="V8" s="2" t="n">
        <v>782</v>
      </c>
      <c r="W8" s="2" t="n">
        <v>24</v>
      </c>
      <c r="X8" s="2" t="s">
        <v>195</v>
      </c>
      <c r="Y8" s="2" t="n">
        <v>48</v>
      </c>
      <c r="Z8" s="2" t="s">
        <v>196</v>
      </c>
      <c r="AA8" s="2" t="n">
        <v>9</v>
      </c>
      <c r="AB8" s="2" t="n">
        <v>20</v>
      </c>
      <c r="AC8" s="2" t="s">
        <v>197</v>
      </c>
      <c r="AD8" s="2" t="s">
        <v>198</v>
      </c>
      <c r="AE8" s="2" t="n">
        <v>19</v>
      </c>
      <c r="AF8" s="2" t="n">
        <v>9</v>
      </c>
      <c r="AG8" s="2" t="n">
        <v>31</v>
      </c>
      <c r="AH8" s="2" t="n">
        <v>24</v>
      </c>
      <c r="AI8" s="2" t="n">
        <v>85</v>
      </c>
      <c r="AJ8" s="2" t="n">
        <v>10</v>
      </c>
      <c r="AK8" s="17" t="n">
        <v>166.8</v>
      </c>
      <c r="AL8" s="2" t="n">
        <v>29580</v>
      </c>
      <c r="AM8" s="17" t="n">
        <v>32.1</v>
      </c>
      <c r="AN8" s="2" t="n">
        <v>250</v>
      </c>
      <c r="AO8" s="2" t="n">
        <v>17</v>
      </c>
      <c r="AP8" s="17" t="n">
        <v>6.8</v>
      </c>
      <c r="AQ8" s="2" t="n">
        <v>27</v>
      </c>
      <c r="AR8" s="17" t="n">
        <v>8.9</v>
      </c>
      <c r="AS8" s="17" t="n">
        <v>7.5</v>
      </c>
    </row>
    <row r="9" customFormat="false" ht="15" hidden="false" customHeight="false" outlineLevel="0" collapsed="false">
      <c r="A9" s="4" t="s">
        <v>41</v>
      </c>
      <c r="B9" s="5" t="s">
        <v>42</v>
      </c>
      <c r="C9" s="4" t="s">
        <v>34</v>
      </c>
      <c r="D9" s="4" t="s">
        <v>35</v>
      </c>
      <c r="E9" s="4" t="n">
        <v>17</v>
      </c>
      <c r="F9" s="4" t="n">
        <v>13</v>
      </c>
      <c r="G9" s="4" t="n">
        <v>1326</v>
      </c>
      <c r="H9" s="4" t="n">
        <v>1</v>
      </c>
      <c r="I9" s="4" t="n">
        <v>1</v>
      </c>
      <c r="J9" s="14" t="n">
        <v>2.1</v>
      </c>
      <c r="K9" s="14" t="n">
        <v>1.44</v>
      </c>
      <c r="L9" s="14" t="n">
        <v>1.27</v>
      </c>
      <c r="M9" s="4" t="n">
        <v>9</v>
      </c>
      <c r="N9" s="4" t="n">
        <v>1</v>
      </c>
      <c r="O9" s="4" t="n">
        <v>4</v>
      </c>
      <c r="P9" s="4" t="n">
        <v>4</v>
      </c>
      <c r="Q9" s="4" t="s">
        <v>199</v>
      </c>
      <c r="R9" s="4" t="s">
        <v>200</v>
      </c>
      <c r="S9" s="4" t="n">
        <v>7</v>
      </c>
      <c r="T9" s="4" t="n">
        <v>3</v>
      </c>
      <c r="U9" s="4" t="n">
        <v>99</v>
      </c>
      <c r="V9" s="4" t="n">
        <v>933</v>
      </c>
      <c r="W9" s="4" t="n">
        <v>21</v>
      </c>
      <c r="X9" s="4" t="s">
        <v>201</v>
      </c>
      <c r="Y9" s="4" t="n">
        <v>51</v>
      </c>
      <c r="Z9" s="4" t="s">
        <v>190</v>
      </c>
      <c r="AA9" s="4" t="n">
        <v>6</v>
      </c>
      <c r="AB9" s="4" t="n">
        <v>4</v>
      </c>
      <c r="AC9" s="4" t="s">
        <v>202</v>
      </c>
      <c r="AD9" s="4" t="s">
        <v>203</v>
      </c>
      <c r="AE9" s="4" t="n">
        <v>20</v>
      </c>
      <c r="AF9" s="4" t="n">
        <v>25</v>
      </c>
      <c r="AG9" s="4" t="n">
        <v>37</v>
      </c>
      <c r="AH9" s="4" t="n">
        <v>12</v>
      </c>
      <c r="AI9" s="4" t="n">
        <v>46</v>
      </c>
      <c r="AJ9" s="4" t="n">
        <v>11</v>
      </c>
      <c r="AK9" s="15" t="n">
        <v>134.4</v>
      </c>
      <c r="AL9" s="4" t="n">
        <v>19856</v>
      </c>
      <c r="AM9" s="15" t="n">
        <v>31.5</v>
      </c>
      <c r="AN9" s="4" t="n">
        <v>88</v>
      </c>
      <c r="AO9" s="4" t="n">
        <v>6</v>
      </c>
      <c r="AP9" s="15" t="n">
        <v>3.2</v>
      </c>
      <c r="AQ9" s="4" t="n">
        <v>22</v>
      </c>
      <c r="AR9" s="15" t="n">
        <v>7.8</v>
      </c>
      <c r="AS9" s="15" t="n">
        <v>6.9</v>
      </c>
    </row>
    <row r="10" customFormat="false" ht="15" hidden="false" customHeight="false" outlineLevel="0" collapsed="false">
      <c r="A10" s="2" t="s">
        <v>45</v>
      </c>
      <c r="B10" s="3" t="s">
        <v>46</v>
      </c>
      <c r="C10" s="2" t="s">
        <v>47</v>
      </c>
      <c r="D10" s="2" t="s">
        <v>23</v>
      </c>
      <c r="E10" s="2" t="n">
        <v>17</v>
      </c>
      <c r="F10" s="2" t="n">
        <v>3</v>
      </c>
      <c r="G10" s="2" t="n">
        <v>697</v>
      </c>
      <c r="H10" s="2" t="n">
        <v>4</v>
      </c>
      <c r="I10" s="2" t="n">
        <v>3</v>
      </c>
      <c r="J10" s="16" t="n">
        <v>4.11</v>
      </c>
      <c r="K10" s="16" t="n">
        <v>1.31</v>
      </c>
      <c r="L10" s="16" t="n">
        <v>2.81</v>
      </c>
      <c r="M10" s="2" t="n">
        <v>19</v>
      </c>
      <c r="N10" s="2" t="n">
        <v>11</v>
      </c>
      <c r="O10" s="2" t="n">
        <v>0</v>
      </c>
      <c r="P10" s="2" t="n">
        <v>8</v>
      </c>
      <c r="Q10" s="2" t="s">
        <v>204</v>
      </c>
      <c r="R10" s="2" t="s">
        <v>205</v>
      </c>
      <c r="S10" s="2" t="n">
        <v>15</v>
      </c>
      <c r="T10" s="2" t="n">
        <v>7</v>
      </c>
      <c r="U10" s="2" t="n">
        <v>88</v>
      </c>
      <c r="V10" s="2" t="n">
        <v>835</v>
      </c>
      <c r="W10" s="2" t="n">
        <v>45</v>
      </c>
      <c r="X10" s="2" t="s">
        <v>206</v>
      </c>
      <c r="Y10" s="2" t="n">
        <v>65</v>
      </c>
      <c r="Z10" s="2" t="s">
        <v>207</v>
      </c>
      <c r="AA10" s="2" t="n">
        <v>18</v>
      </c>
      <c r="AB10" s="2" t="n">
        <v>15</v>
      </c>
      <c r="AC10" s="2" t="s">
        <v>208</v>
      </c>
      <c r="AD10" s="2" t="s">
        <v>209</v>
      </c>
      <c r="AE10" s="2" t="n">
        <v>24</v>
      </c>
      <c r="AF10" s="2" t="n">
        <v>18</v>
      </c>
      <c r="AG10" s="2" t="n">
        <v>34</v>
      </c>
      <c r="AH10" s="2" t="n">
        <v>11</v>
      </c>
      <c r="AI10" s="2" t="n">
        <v>76</v>
      </c>
      <c r="AJ10" s="2" t="n">
        <v>10</v>
      </c>
      <c r="AK10" s="17" t="n">
        <v>196.3</v>
      </c>
      <c r="AL10" s="2" t="n">
        <v>27676</v>
      </c>
      <c r="AM10" s="17" t="n">
        <v>31</v>
      </c>
      <c r="AN10" s="2" t="n">
        <v>186</v>
      </c>
      <c r="AO10" s="2" t="n">
        <v>19</v>
      </c>
      <c r="AP10" s="17" t="n">
        <v>5.9</v>
      </c>
      <c r="AQ10" s="2" t="n">
        <v>53</v>
      </c>
      <c r="AR10" s="17" t="n">
        <v>7</v>
      </c>
      <c r="AS10" s="17" t="n">
        <v>7</v>
      </c>
    </row>
    <row r="11" customFormat="false" ht="15" hidden="false" customHeight="false" outlineLevel="0" collapsed="false">
      <c r="A11" s="4" t="s">
        <v>49</v>
      </c>
      <c r="B11" s="5" t="s">
        <v>50</v>
      </c>
      <c r="C11" s="4" t="s">
        <v>51</v>
      </c>
      <c r="D11" s="4" t="s">
        <v>23</v>
      </c>
      <c r="E11" s="4" t="n">
        <v>12</v>
      </c>
      <c r="F11" s="4" t="n">
        <v>5</v>
      </c>
      <c r="G11" s="4" t="n">
        <v>648</v>
      </c>
      <c r="H11" s="4" t="n">
        <v>5</v>
      </c>
      <c r="I11" s="4" t="n">
        <v>6</v>
      </c>
      <c r="J11" s="14" t="n">
        <v>8.6</v>
      </c>
      <c r="K11" s="14" t="n">
        <v>3.83</v>
      </c>
      <c r="L11" s="14" t="n">
        <v>3.92</v>
      </c>
      <c r="M11" s="4" t="n">
        <v>36</v>
      </c>
      <c r="N11" s="4" t="n">
        <v>25</v>
      </c>
      <c r="O11" s="4" t="n">
        <v>5</v>
      </c>
      <c r="P11" s="4" t="n">
        <v>6</v>
      </c>
      <c r="Q11" s="4" t="s">
        <v>210</v>
      </c>
      <c r="R11" s="4" t="s">
        <v>211</v>
      </c>
      <c r="S11" s="4" t="n">
        <v>23</v>
      </c>
      <c r="T11" s="4" t="n">
        <v>8</v>
      </c>
      <c r="U11" s="4" t="n">
        <v>90</v>
      </c>
      <c r="V11" s="4" t="n">
        <v>489</v>
      </c>
      <c r="W11" s="4" t="n">
        <v>130</v>
      </c>
      <c r="X11" s="4" t="s">
        <v>212</v>
      </c>
      <c r="Y11" s="4" t="n">
        <v>54</v>
      </c>
      <c r="Z11" s="4" t="s">
        <v>213</v>
      </c>
      <c r="AA11" s="4" t="n">
        <v>11</v>
      </c>
      <c r="AB11" s="4" t="n">
        <v>25</v>
      </c>
      <c r="AC11" s="4" t="s">
        <v>214</v>
      </c>
      <c r="AD11" s="4" t="s">
        <v>215</v>
      </c>
      <c r="AE11" s="4" t="n">
        <v>24</v>
      </c>
      <c r="AF11" s="4" t="n">
        <v>14</v>
      </c>
      <c r="AG11" s="4" t="n">
        <v>9</v>
      </c>
      <c r="AH11" s="4" t="n">
        <v>11</v>
      </c>
      <c r="AI11" s="4" t="n">
        <v>42</v>
      </c>
      <c r="AJ11" s="4" t="n">
        <v>5</v>
      </c>
      <c r="AK11" s="15" t="n">
        <v>127.6</v>
      </c>
      <c r="AL11" s="4" t="n">
        <v>21372</v>
      </c>
      <c r="AM11" s="15" t="n">
        <v>32.7</v>
      </c>
      <c r="AN11" s="4" t="n">
        <v>202</v>
      </c>
      <c r="AO11" s="4" t="n">
        <v>24</v>
      </c>
      <c r="AP11" s="15" t="n">
        <v>7.6</v>
      </c>
      <c r="AQ11" s="4" t="n">
        <v>41</v>
      </c>
      <c r="AR11" s="15" t="n">
        <v>5.3</v>
      </c>
      <c r="AS11" s="15" t="n">
        <v>7.6</v>
      </c>
    </row>
    <row r="12" customFormat="false" ht="15" hidden="false" customHeight="false" outlineLevel="0" collapsed="false">
      <c r="A12" s="2" t="s">
        <v>54</v>
      </c>
      <c r="B12" s="3" t="s">
        <v>55</v>
      </c>
      <c r="C12" s="2" t="s">
        <v>28</v>
      </c>
      <c r="D12" s="2" t="s">
        <v>35</v>
      </c>
      <c r="E12" s="2" t="n">
        <v>17</v>
      </c>
      <c r="F12" s="2" t="n">
        <v>16</v>
      </c>
      <c r="G12" s="2" t="n">
        <v>1428</v>
      </c>
      <c r="H12" s="2" t="n">
        <v>4</v>
      </c>
      <c r="I12" s="2" t="n">
        <v>5</v>
      </c>
      <c r="J12" s="16" t="n">
        <v>2.58</v>
      </c>
      <c r="K12" s="16" t="n">
        <v>0.77</v>
      </c>
      <c r="L12" s="16" t="n">
        <v>4.21</v>
      </c>
      <c r="M12" s="2" t="n">
        <v>16</v>
      </c>
      <c r="N12" s="2" t="n">
        <v>4</v>
      </c>
      <c r="O12" s="2" t="n">
        <v>9</v>
      </c>
      <c r="P12" s="2" t="n">
        <v>3</v>
      </c>
      <c r="Q12" s="2" t="s">
        <v>216</v>
      </c>
      <c r="R12" s="2" t="s">
        <v>217</v>
      </c>
      <c r="S12" s="2" t="n">
        <v>21</v>
      </c>
      <c r="T12" s="2" t="n">
        <v>6</v>
      </c>
      <c r="U12" s="2" t="n">
        <v>105</v>
      </c>
      <c r="V12" s="2" t="n">
        <v>1596</v>
      </c>
      <c r="W12" s="2" t="n">
        <v>47</v>
      </c>
      <c r="X12" s="2" t="s">
        <v>218</v>
      </c>
      <c r="Y12" s="2" t="n">
        <v>63</v>
      </c>
      <c r="Z12" s="2" t="s">
        <v>219</v>
      </c>
      <c r="AA12" s="2" t="n">
        <v>15</v>
      </c>
      <c r="AB12" s="2" t="n">
        <v>21</v>
      </c>
      <c r="AC12" s="2" t="s">
        <v>220</v>
      </c>
      <c r="AD12" s="2" t="s">
        <v>221</v>
      </c>
      <c r="AE12" s="2" t="n">
        <v>15</v>
      </c>
      <c r="AF12" s="2" t="n">
        <v>22</v>
      </c>
      <c r="AG12" s="2" t="n">
        <v>18</v>
      </c>
      <c r="AH12" s="2" t="n">
        <v>23</v>
      </c>
      <c r="AI12" s="2" t="n">
        <v>48</v>
      </c>
      <c r="AJ12" s="2" t="n">
        <v>16</v>
      </c>
      <c r="AK12" s="17" t="n">
        <v>189.9</v>
      </c>
      <c r="AL12" s="2" t="n">
        <v>31246</v>
      </c>
      <c r="AM12" s="17" t="n">
        <v>29.4</v>
      </c>
      <c r="AN12" s="2" t="n">
        <v>211</v>
      </c>
      <c r="AO12" s="2" t="n">
        <v>10</v>
      </c>
      <c r="AP12" s="17" t="n">
        <v>4.8</v>
      </c>
      <c r="AQ12" s="2" t="n">
        <v>36</v>
      </c>
      <c r="AR12" s="17" t="n">
        <v>7.5</v>
      </c>
      <c r="AS12" s="17" t="n">
        <v>7.2</v>
      </c>
    </row>
    <row r="13" customFormat="false" ht="15" hidden="false" customHeight="false" outlineLevel="0" collapsed="false">
      <c r="A13" s="6" t="s">
        <v>57</v>
      </c>
      <c r="B13" s="7" t="s">
        <v>58</v>
      </c>
      <c r="C13" s="6" t="s">
        <v>51</v>
      </c>
      <c r="D13" s="6" t="s">
        <v>59</v>
      </c>
      <c r="E13" s="6" t="n">
        <v>18</v>
      </c>
      <c r="F13" s="6" t="n">
        <v>18</v>
      </c>
      <c r="G13" s="6" t="n">
        <v>1576</v>
      </c>
      <c r="H13" s="6" t="n">
        <v>12</v>
      </c>
      <c r="I13" s="6" t="n">
        <v>8</v>
      </c>
      <c r="J13" s="18" t="n">
        <v>11.8</v>
      </c>
      <c r="K13" s="18" t="n">
        <v>9.4</v>
      </c>
      <c r="L13" s="18" t="n">
        <v>6.2</v>
      </c>
      <c r="M13" s="6" t="n">
        <v>59</v>
      </c>
      <c r="N13" s="6" t="n">
        <v>29</v>
      </c>
      <c r="O13" s="6" t="n">
        <v>24</v>
      </c>
      <c r="P13" s="6" t="n">
        <v>6</v>
      </c>
      <c r="Q13" s="6" t="s">
        <v>222</v>
      </c>
      <c r="R13" s="6" t="s">
        <v>223</v>
      </c>
      <c r="S13" s="6" t="n">
        <v>38</v>
      </c>
      <c r="T13" s="6" t="n">
        <v>11</v>
      </c>
      <c r="U13" s="6" t="n">
        <v>71</v>
      </c>
      <c r="V13" s="6" t="n">
        <v>824</v>
      </c>
      <c r="W13" s="6" t="n">
        <v>142</v>
      </c>
      <c r="X13" s="6" t="s">
        <v>224</v>
      </c>
      <c r="Y13" s="6" t="n">
        <v>89</v>
      </c>
      <c r="Z13" s="6" t="s">
        <v>225</v>
      </c>
      <c r="AA13" s="6" t="n">
        <v>18</v>
      </c>
      <c r="AB13" s="6" t="n">
        <v>22</v>
      </c>
      <c r="AC13" s="6" t="s">
        <v>226</v>
      </c>
      <c r="AD13" s="6" t="s">
        <v>227</v>
      </c>
      <c r="AE13" s="6" t="n">
        <v>41</v>
      </c>
      <c r="AF13" s="6" t="n">
        <v>18</v>
      </c>
      <c r="AG13" s="6" t="n">
        <v>14</v>
      </c>
      <c r="AH13" s="6" t="n">
        <v>9</v>
      </c>
      <c r="AI13" s="6" t="n">
        <v>48</v>
      </c>
      <c r="AJ13" s="6" t="n">
        <v>11</v>
      </c>
      <c r="AK13" s="19" t="n">
        <v>187.2</v>
      </c>
      <c r="AL13" s="6" t="n">
        <v>33120</v>
      </c>
      <c r="AM13" s="19" t="n">
        <v>32.6</v>
      </c>
      <c r="AN13" s="6" t="n">
        <v>218</v>
      </c>
      <c r="AO13" s="6" t="n">
        <v>24</v>
      </c>
      <c r="AP13" s="19" t="n">
        <v>8.7</v>
      </c>
      <c r="AQ13" s="6" t="n">
        <v>71</v>
      </c>
      <c r="AR13" s="19" t="n">
        <v>4.8</v>
      </c>
      <c r="AS13" s="19" t="n">
        <v>8.1</v>
      </c>
    </row>
    <row r="14" customFormat="false" ht="15" hidden="false" customHeight="false" outlineLevel="0" collapsed="false">
      <c r="A14" s="2" t="s">
        <v>62</v>
      </c>
      <c r="B14" s="3" t="s">
        <v>63</v>
      </c>
      <c r="C14" s="2" t="s">
        <v>28</v>
      </c>
      <c r="D14" s="2" t="s">
        <v>59</v>
      </c>
      <c r="E14" s="2" t="n">
        <v>18</v>
      </c>
      <c r="F14" s="2" t="n">
        <v>15</v>
      </c>
      <c r="G14" s="2" t="n">
        <v>1422</v>
      </c>
      <c r="H14" s="2" t="n">
        <v>1</v>
      </c>
      <c r="I14" s="2" t="n">
        <v>6</v>
      </c>
      <c r="J14" s="16" t="n">
        <v>3.1</v>
      </c>
      <c r="K14" s="16" t="n">
        <v>2.79</v>
      </c>
      <c r="L14" s="16" t="n">
        <v>4.52</v>
      </c>
      <c r="M14" s="2" t="n">
        <v>19</v>
      </c>
      <c r="N14" s="2" t="n">
        <v>2</v>
      </c>
      <c r="O14" s="2" t="n">
        <v>13</v>
      </c>
      <c r="P14" s="2" t="n">
        <v>4</v>
      </c>
      <c r="Q14" s="2" t="s">
        <v>228</v>
      </c>
      <c r="R14" s="2" t="s">
        <v>229</v>
      </c>
      <c r="S14" s="2" t="n">
        <v>15</v>
      </c>
      <c r="T14" s="2" t="n">
        <v>5</v>
      </c>
      <c r="U14" s="2" t="n">
        <v>128</v>
      </c>
      <c r="V14" s="2" t="n">
        <v>1551</v>
      </c>
      <c r="W14" s="2" t="n">
        <v>39</v>
      </c>
      <c r="X14" s="2" t="s">
        <v>230</v>
      </c>
      <c r="Y14" s="2" t="n">
        <v>83</v>
      </c>
      <c r="Z14" s="2" t="s">
        <v>231</v>
      </c>
      <c r="AA14" s="2" t="n">
        <v>3</v>
      </c>
      <c r="AB14" s="2" t="n">
        <v>21</v>
      </c>
      <c r="AC14" s="2" t="s">
        <v>232</v>
      </c>
      <c r="AD14" s="2" t="s">
        <v>233</v>
      </c>
      <c r="AE14" s="2" t="n">
        <v>27</v>
      </c>
      <c r="AF14" s="2" t="n">
        <v>12</v>
      </c>
      <c r="AG14" s="2" t="n">
        <v>38</v>
      </c>
      <c r="AH14" s="2" t="n">
        <v>14</v>
      </c>
      <c r="AI14" s="2" t="n">
        <v>54</v>
      </c>
      <c r="AJ14" s="2" t="n">
        <v>13</v>
      </c>
      <c r="AK14" s="17" t="n">
        <v>201.7</v>
      </c>
      <c r="AL14" s="2" t="n">
        <v>24390</v>
      </c>
      <c r="AM14" s="17" t="n">
        <v>31.6</v>
      </c>
      <c r="AN14" s="2" t="n">
        <v>190</v>
      </c>
      <c r="AO14" s="2" t="n">
        <v>20</v>
      </c>
      <c r="AP14" s="17" t="n">
        <v>6.6</v>
      </c>
      <c r="AQ14" s="2" t="n">
        <v>39</v>
      </c>
      <c r="AR14" s="17" t="n">
        <v>7</v>
      </c>
      <c r="AS14" s="17" t="n">
        <v>6.9</v>
      </c>
    </row>
    <row r="15" customFormat="false" ht="15" hidden="false" customHeight="false" outlineLevel="0" collapsed="false">
      <c r="A15" s="4" t="s">
        <v>66</v>
      </c>
      <c r="B15" s="5" t="s">
        <v>67</v>
      </c>
      <c r="C15" s="4" t="s">
        <v>51</v>
      </c>
      <c r="D15" s="4" t="s">
        <v>23</v>
      </c>
      <c r="E15" s="4" t="n">
        <v>18</v>
      </c>
      <c r="F15" s="4" t="n">
        <v>14</v>
      </c>
      <c r="G15" s="4" t="n">
        <v>1476</v>
      </c>
      <c r="H15" s="4" t="n">
        <v>4</v>
      </c>
      <c r="I15" s="4" t="n">
        <v>4</v>
      </c>
      <c r="J15" s="14" t="n">
        <v>6.06</v>
      </c>
      <c r="K15" s="14" t="n">
        <v>3.41</v>
      </c>
      <c r="L15" s="14" t="n">
        <v>2.8</v>
      </c>
      <c r="M15" s="4" t="n">
        <v>54</v>
      </c>
      <c r="N15" s="4" t="n">
        <v>24</v>
      </c>
      <c r="O15" s="4" t="n">
        <v>22</v>
      </c>
      <c r="P15" s="4" t="n">
        <v>8</v>
      </c>
      <c r="Q15" s="4" t="s">
        <v>234</v>
      </c>
      <c r="R15" s="4" t="s">
        <v>235</v>
      </c>
      <c r="S15" s="4" t="n">
        <v>19</v>
      </c>
      <c r="T15" s="4" t="n">
        <v>5</v>
      </c>
      <c r="U15" s="4" t="n">
        <v>83</v>
      </c>
      <c r="V15" s="4" t="n">
        <v>1295</v>
      </c>
      <c r="W15" s="4" t="n">
        <v>72</v>
      </c>
      <c r="X15" s="4" t="s">
        <v>236</v>
      </c>
      <c r="Y15" s="4" t="n">
        <v>79</v>
      </c>
      <c r="Z15" s="4" t="s">
        <v>237</v>
      </c>
      <c r="AA15" s="4" t="n">
        <v>7</v>
      </c>
      <c r="AB15" s="4" t="n">
        <v>19</v>
      </c>
      <c r="AC15" s="4" t="s">
        <v>214</v>
      </c>
      <c r="AD15" s="4" t="s">
        <v>238</v>
      </c>
      <c r="AE15" s="4" t="n">
        <v>40</v>
      </c>
      <c r="AF15" s="4" t="n">
        <v>11</v>
      </c>
      <c r="AG15" s="4" t="n">
        <v>9</v>
      </c>
      <c r="AH15" s="4" t="n">
        <v>5</v>
      </c>
      <c r="AI15" s="4" t="n">
        <v>31</v>
      </c>
      <c r="AJ15" s="4" t="n">
        <v>5</v>
      </c>
      <c r="AK15" s="15" t="n">
        <v>182.8</v>
      </c>
      <c r="AL15" s="4" t="n">
        <v>31176</v>
      </c>
      <c r="AM15" s="15" t="n">
        <v>30.8</v>
      </c>
      <c r="AN15" s="4" t="n">
        <v>199</v>
      </c>
      <c r="AO15" s="4" t="n">
        <v>25</v>
      </c>
      <c r="AP15" s="15" t="n">
        <v>8.2</v>
      </c>
      <c r="AQ15" s="4" t="n">
        <v>40</v>
      </c>
      <c r="AR15" s="15" t="n">
        <v>6.1</v>
      </c>
      <c r="AS15" s="15" t="n">
        <v>6.9</v>
      </c>
    </row>
    <row r="16" customFormat="false" ht="15" hidden="false" customHeight="false" outlineLevel="0" collapsed="false">
      <c r="A16" s="2" t="s">
        <v>70</v>
      </c>
      <c r="B16" s="3" t="s">
        <v>71</v>
      </c>
      <c r="C16" s="2" t="s">
        <v>28</v>
      </c>
      <c r="D16" s="2" t="s">
        <v>59</v>
      </c>
      <c r="E16" s="2" t="n">
        <v>11</v>
      </c>
      <c r="F16" s="2" t="n">
        <v>3</v>
      </c>
      <c r="G16" s="2" t="n">
        <v>605</v>
      </c>
      <c r="H16" s="2" t="n">
        <v>2</v>
      </c>
      <c r="I16" s="2" t="n">
        <v>1</v>
      </c>
      <c r="J16" s="16" t="n">
        <v>1.41</v>
      </c>
      <c r="K16" s="16" t="n">
        <v>2.82</v>
      </c>
      <c r="L16" s="16" t="n">
        <v>1.31</v>
      </c>
      <c r="M16" s="2" t="n">
        <v>28</v>
      </c>
      <c r="N16" s="2" t="n">
        <v>8</v>
      </c>
      <c r="O16" s="2" t="n">
        <v>13</v>
      </c>
      <c r="P16" s="2" t="n">
        <v>7</v>
      </c>
      <c r="Q16" s="2" t="s">
        <v>239</v>
      </c>
      <c r="R16" s="2" t="s">
        <v>240</v>
      </c>
      <c r="S16" s="2" t="n">
        <v>25</v>
      </c>
      <c r="T16" s="2" t="n">
        <v>2</v>
      </c>
      <c r="U16" s="2" t="n">
        <v>100</v>
      </c>
      <c r="V16" s="2" t="n">
        <v>720</v>
      </c>
      <c r="W16" s="2" t="n">
        <v>24</v>
      </c>
      <c r="X16" s="2" t="s">
        <v>241</v>
      </c>
      <c r="Y16" s="2" t="n">
        <v>71</v>
      </c>
      <c r="Z16" s="2" t="s">
        <v>242</v>
      </c>
      <c r="AA16" s="2" t="n">
        <v>6</v>
      </c>
      <c r="AB16" s="2" t="n">
        <v>20</v>
      </c>
      <c r="AC16" s="2" t="s">
        <v>243</v>
      </c>
      <c r="AD16" s="2" t="s">
        <v>244</v>
      </c>
      <c r="AE16" s="2" t="n">
        <v>20</v>
      </c>
      <c r="AF16" s="2" t="n">
        <v>15</v>
      </c>
      <c r="AG16" s="2" t="n">
        <v>21</v>
      </c>
      <c r="AH16" s="2" t="n">
        <v>26</v>
      </c>
      <c r="AI16" s="2" t="n">
        <v>54</v>
      </c>
      <c r="AJ16" s="2" t="n">
        <v>19</v>
      </c>
      <c r="AK16" s="17" t="n">
        <v>122.2</v>
      </c>
      <c r="AL16" s="2" t="n">
        <v>16236</v>
      </c>
      <c r="AM16" s="17" t="n">
        <v>32.5</v>
      </c>
      <c r="AN16" s="2" t="n">
        <v>244</v>
      </c>
      <c r="AO16" s="2" t="n">
        <v>15</v>
      </c>
      <c r="AP16" s="17" t="n">
        <v>6.3</v>
      </c>
      <c r="AQ16" s="2" t="n">
        <v>58</v>
      </c>
      <c r="AR16" s="17" t="n">
        <v>6.9</v>
      </c>
      <c r="AS16" s="17" t="n">
        <v>6.9</v>
      </c>
    </row>
    <row r="17" customFormat="false" ht="15" hidden="false" customHeight="false" outlineLevel="0" collapsed="false">
      <c r="A17" s="4" t="s">
        <v>73</v>
      </c>
      <c r="B17" s="5" t="s">
        <v>74</v>
      </c>
      <c r="C17" s="4" t="s">
        <v>28</v>
      </c>
      <c r="D17" s="4" t="s">
        <v>35</v>
      </c>
      <c r="E17" s="4" t="n">
        <v>12</v>
      </c>
      <c r="F17" s="4" t="n">
        <v>9</v>
      </c>
      <c r="G17" s="4" t="n">
        <v>480</v>
      </c>
      <c r="H17" s="4" t="n">
        <v>3</v>
      </c>
      <c r="I17" s="4" t="n">
        <v>4</v>
      </c>
      <c r="J17" s="14" t="n">
        <v>2.53</v>
      </c>
      <c r="K17" s="14" t="n">
        <v>2</v>
      </c>
      <c r="L17" s="14" t="n">
        <v>3.77</v>
      </c>
      <c r="M17" s="4" t="n">
        <v>16</v>
      </c>
      <c r="N17" s="4" t="n">
        <v>11</v>
      </c>
      <c r="O17" s="4" t="n">
        <v>0</v>
      </c>
      <c r="P17" s="4" t="n">
        <v>5</v>
      </c>
      <c r="Q17" s="4" t="s">
        <v>245</v>
      </c>
      <c r="R17" s="4" t="s">
        <v>246</v>
      </c>
      <c r="S17" s="4" t="n">
        <v>8</v>
      </c>
      <c r="T17" s="4" t="n">
        <v>3</v>
      </c>
      <c r="U17" s="4" t="n">
        <v>75</v>
      </c>
      <c r="V17" s="4" t="n">
        <v>487</v>
      </c>
      <c r="W17" s="4" t="n">
        <v>51</v>
      </c>
      <c r="X17" s="4" t="s">
        <v>247</v>
      </c>
      <c r="Y17" s="4" t="n">
        <v>64</v>
      </c>
      <c r="Z17" s="4" t="s">
        <v>248</v>
      </c>
      <c r="AA17" s="4" t="n">
        <v>5</v>
      </c>
      <c r="AB17" s="4" t="n">
        <v>18</v>
      </c>
      <c r="AC17" s="4" t="s">
        <v>249</v>
      </c>
      <c r="AD17" s="4" t="s">
        <v>209</v>
      </c>
      <c r="AE17" s="4" t="n">
        <v>23</v>
      </c>
      <c r="AF17" s="4" t="n">
        <v>22</v>
      </c>
      <c r="AG17" s="4" t="n">
        <v>28</v>
      </c>
      <c r="AH17" s="4" t="n">
        <v>28</v>
      </c>
      <c r="AI17" s="4" t="n">
        <v>49</v>
      </c>
      <c r="AJ17" s="4" t="n">
        <v>11</v>
      </c>
      <c r="AK17" s="15" t="n">
        <v>118</v>
      </c>
      <c r="AL17" s="4" t="n">
        <v>16572</v>
      </c>
      <c r="AM17" s="15" t="n">
        <v>31.3</v>
      </c>
      <c r="AN17" s="4" t="n">
        <v>166</v>
      </c>
      <c r="AO17" s="4" t="n">
        <v>11</v>
      </c>
      <c r="AP17" s="15" t="n">
        <v>8.1</v>
      </c>
      <c r="AQ17" s="4" t="n">
        <v>57</v>
      </c>
      <c r="AR17" s="15" t="n">
        <v>7.4</v>
      </c>
      <c r="AS17" s="15" t="n">
        <v>7</v>
      </c>
    </row>
    <row r="18" customFormat="false" ht="15" hidden="false" customHeight="false" outlineLevel="0" collapsed="false">
      <c r="A18" s="2" t="s">
        <v>77</v>
      </c>
      <c r="B18" s="3" t="s">
        <v>78</v>
      </c>
      <c r="C18" s="2" t="s">
        <v>51</v>
      </c>
      <c r="D18" s="2" t="s">
        <v>17</v>
      </c>
      <c r="E18" s="2" t="n">
        <v>11</v>
      </c>
      <c r="F18" s="2" t="n">
        <v>4</v>
      </c>
      <c r="G18" s="2" t="n">
        <v>484</v>
      </c>
      <c r="H18" s="2" t="n">
        <v>8</v>
      </c>
      <c r="I18" s="2" t="n">
        <v>6</v>
      </c>
      <c r="J18" s="16" t="n">
        <v>6.4</v>
      </c>
      <c r="K18" s="16" t="n">
        <v>3.07</v>
      </c>
      <c r="L18" s="16" t="n">
        <v>2.63</v>
      </c>
      <c r="M18" s="2" t="n">
        <v>41</v>
      </c>
      <c r="N18" s="2" t="n">
        <v>18</v>
      </c>
      <c r="O18" s="2" t="n">
        <v>16</v>
      </c>
      <c r="P18" s="2" t="n">
        <v>7</v>
      </c>
      <c r="Q18" s="2" t="s">
        <v>250</v>
      </c>
      <c r="R18" s="2" t="s">
        <v>251</v>
      </c>
      <c r="S18" s="2" t="n">
        <v>24</v>
      </c>
      <c r="T18" s="2" t="n">
        <v>7</v>
      </c>
      <c r="U18" s="2" t="n">
        <v>53</v>
      </c>
      <c r="V18" s="2" t="n">
        <v>389</v>
      </c>
      <c r="W18" s="2" t="n">
        <v>110</v>
      </c>
      <c r="X18" s="2" t="s">
        <v>252</v>
      </c>
      <c r="Y18" s="2" t="n">
        <v>63</v>
      </c>
      <c r="Z18" s="2" t="s">
        <v>253</v>
      </c>
      <c r="AA18" s="2" t="n">
        <v>9</v>
      </c>
      <c r="AB18" s="2" t="n">
        <v>25</v>
      </c>
      <c r="AC18" s="2" t="s">
        <v>254</v>
      </c>
      <c r="AD18" s="2" t="s">
        <v>255</v>
      </c>
      <c r="AE18" s="2" t="n">
        <v>32</v>
      </c>
      <c r="AF18" s="2" t="n">
        <v>20</v>
      </c>
      <c r="AG18" s="2" t="n">
        <v>4</v>
      </c>
      <c r="AH18" s="2" t="n">
        <v>11</v>
      </c>
      <c r="AI18" s="2" t="n">
        <v>36</v>
      </c>
      <c r="AJ18" s="2" t="n">
        <v>4</v>
      </c>
      <c r="AK18" s="17" t="n">
        <v>116.8</v>
      </c>
      <c r="AL18" s="2" t="n">
        <v>18370</v>
      </c>
      <c r="AM18" s="17" t="n">
        <v>32.5</v>
      </c>
      <c r="AN18" s="2" t="n">
        <v>222</v>
      </c>
      <c r="AO18" s="2" t="n">
        <v>12</v>
      </c>
      <c r="AP18" s="17" t="n">
        <v>6.4</v>
      </c>
      <c r="AQ18" s="2" t="n">
        <v>64</v>
      </c>
      <c r="AR18" s="17" t="n">
        <v>4.8</v>
      </c>
      <c r="AS18" s="17" t="n">
        <v>7.1</v>
      </c>
    </row>
    <row r="19" customFormat="false" ht="15" hidden="false" customHeight="false" outlineLevel="0" collapsed="false">
      <c r="A19" s="4" t="s">
        <v>80</v>
      </c>
      <c r="B19" s="5" t="s">
        <v>81</v>
      </c>
      <c r="C19" s="4" t="s">
        <v>51</v>
      </c>
      <c r="D19" s="4" t="s">
        <v>35</v>
      </c>
      <c r="E19" s="4" t="n">
        <v>18</v>
      </c>
      <c r="F19" s="4" t="n">
        <v>18</v>
      </c>
      <c r="G19" s="4" t="n">
        <v>1530</v>
      </c>
      <c r="H19" s="4" t="n">
        <v>5</v>
      </c>
      <c r="I19" s="4" t="n">
        <v>4</v>
      </c>
      <c r="J19" s="14" t="n">
        <v>8.77</v>
      </c>
      <c r="K19" s="14" t="n">
        <v>5.72</v>
      </c>
      <c r="L19" s="14" t="n">
        <v>3.52</v>
      </c>
      <c r="M19" s="4" t="n">
        <v>47</v>
      </c>
      <c r="N19" s="4" t="n">
        <v>18</v>
      </c>
      <c r="O19" s="4" t="n">
        <v>23</v>
      </c>
      <c r="P19" s="4" t="n">
        <v>6</v>
      </c>
      <c r="Q19" s="4" t="s">
        <v>256</v>
      </c>
      <c r="R19" s="4" t="s">
        <v>257</v>
      </c>
      <c r="S19" s="4" t="n">
        <v>8</v>
      </c>
      <c r="T19" s="4" t="n">
        <v>8</v>
      </c>
      <c r="U19" s="4" t="n">
        <v>45</v>
      </c>
      <c r="V19" s="4" t="n">
        <v>1275</v>
      </c>
      <c r="W19" s="4" t="n">
        <v>73</v>
      </c>
      <c r="X19" s="4" t="s">
        <v>258</v>
      </c>
      <c r="Y19" s="4" t="n">
        <v>37</v>
      </c>
      <c r="Z19" s="4" t="s">
        <v>259</v>
      </c>
      <c r="AA19" s="4" t="n">
        <v>8</v>
      </c>
      <c r="AB19" s="4" t="n">
        <v>21</v>
      </c>
      <c r="AC19" s="4" t="s">
        <v>260</v>
      </c>
      <c r="AD19" s="4" t="s">
        <v>261</v>
      </c>
      <c r="AE19" s="4" t="n">
        <v>31</v>
      </c>
      <c r="AF19" s="4" t="n">
        <v>18</v>
      </c>
      <c r="AG19" s="4" t="n">
        <v>14</v>
      </c>
      <c r="AH19" s="4" t="n">
        <v>8</v>
      </c>
      <c r="AI19" s="4" t="n">
        <v>16</v>
      </c>
      <c r="AJ19" s="4" t="n">
        <v>5</v>
      </c>
      <c r="AK19" s="15" t="n">
        <v>169.3</v>
      </c>
      <c r="AL19" s="4" t="n">
        <v>30150</v>
      </c>
      <c r="AM19" s="15" t="n">
        <v>32.1</v>
      </c>
      <c r="AN19" s="4" t="n">
        <v>192</v>
      </c>
      <c r="AO19" s="4" t="n">
        <v>23</v>
      </c>
      <c r="AP19" s="15" t="n">
        <v>6</v>
      </c>
      <c r="AQ19" s="4" t="n">
        <v>63</v>
      </c>
      <c r="AR19" s="15" t="n">
        <v>5.7</v>
      </c>
      <c r="AS19" s="15" t="n">
        <v>6.7</v>
      </c>
    </row>
    <row r="20" customFormat="false" ht="15" hidden="false" customHeight="false" outlineLevel="0" collapsed="false">
      <c r="A20" s="2" t="s">
        <v>84</v>
      </c>
      <c r="B20" s="3" t="s">
        <v>85</v>
      </c>
      <c r="C20" s="2" t="s">
        <v>34</v>
      </c>
      <c r="D20" s="2" t="s">
        <v>59</v>
      </c>
      <c r="E20" s="2" t="n">
        <v>18</v>
      </c>
      <c r="F20" s="2" t="n">
        <v>14</v>
      </c>
      <c r="G20" s="2" t="n">
        <v>1440</v>
      </c>
      <c r="H20" s="2" t="n">
        <v>0</v>
      </c>
      <c r="I20" s="2" t="n">
        <v>0</v>
      </c>
      <c r="J20" s="16" t="n">
        <v>2.08</v>
      </c>
      <c r="K20" s="16" t="n">
        <v>1.46</v>
      </c>
      <c r="L20" s="16" t="n">
        <v>0.62</v>
      </c>
      <c r="M20" s="2" t="n">
        <v>5</v>
      </c>
      <c r="N20" s="2" t="n">
        <v>2</v>
      </c>
      <c r="O20" s="2" t="n">
        <v>2</v>
      </c>
      <c r="P20" s="2" t="n">
        <v>1</v>
      </c>
      <c r="Q20" s="2" t="s">
        <v>262</v>
      </c>
      <c r="R20" s="2" t="s">
        <v>263</v>
      </c>
      <c r="S20" s="2" t="n">
        <v>8</v>
      </c>
      <c r="T20" s="2" t="n">
        <v>2</v>
      </c>
      <c r="U20" s="2" t="n">
        <v>103</v>
      </c>
      <c r="V20" s="2" t="n">
        <v>1202</v>
      </c>
      <c r="W20" s="2" t="n">
        <v>23</v>
      </c>
      <c r="X20" s="2" t="s">
        <v>264</v>
      </c>
      <c r="Y20" s="2" t="n">
        <v>37</v>
      </c>
      <c r="Z20" s="2" t="s">
        <v>265</v>
      </c>
      <c r="AA20" s="2" t="n">
        <v>5</v>
      </c>
      <c r="AB20" s="2" t="n">
        <v>11</v>
      </c>
      <c r="AC20" s="2" t="s">
        <v>266</v>
      </c>
      <c r="AD20" s="2" t="s">
        <v>267</v>
      </c>
      <c r="AE20" s="2" t="n">
        <v>8</v>
      </c>
      <c r="AF20" s="2" t="n">
        <v>18</v>
      </c>
      <c r="AG20" s="2" t="n">
        <v>34</v>
      </c>
      <c r="AH20" s="2" t="n">
        <v>17</v>
      </c>
      <c r="AI20" s="2" t="n">
        <v>78</v>
      </c>
      <c r="AJ20" s="2" t="n">
        <v>5</v>
      </c>
      <c r="AK20" s="17" t="n">
        <v>149.2</v>
      </c>
      <c r="AL20" s="2" t="n">
        <v>23112</v>
      </c>
      <c r="AM20" s="17" t="n">
        <v>30</v>
      </c>
      <c r="AN20" s="2" t="n">
        <v>103</v>
      </c>
      <c r="AO20" s="2" t="n">
        <v>8</v>
      </c>
      <c r="AP20" s="17" t="n">
        <v>5</v>
      </c>
      <c r="AQ20" s="2" t="n">
        <v>14</v>
      </c>
      <c r="AR20" s="17" t="n">
        <v>7.1</v>
      </c>
      <c r="AS20" s="17" t="n">
        <v>6.8</v>
      </c>
    </row>
    <row r="21" customFormat="false" ht="15" hidden="false" customHeight="false" outlineLevel="0" collapsed="false">
      <c r="A21" s="4" t="s">
        <v>87</v>
      </c>
      <c r="B21" s="5" t="s">
        <v>88</v>
      </c>
      <c r="C21" s="4" t="s">
        <v>28</v>
      </c>
      <c r="D21" s="4" t="s">
        <v>59</v>
      </c>
      <c r="E21" s="4" t="n">
        <v>16</v>
      </c>
      <c r="F21" s="4" t="n">
        <v>13</v>
      </c>
      <c r="G21" s="4" t="n">
        <v>1344</v>
      </c>
      <c r="H21" s="4" t="n">
        <v>2</v>
      </c>
      <c r="I21" s="4" t="n">
        <v>5</v>
      </c>
      <c r="J21" s="14" t="n">
        <v>3.98</v>
      </c>
      <c r="K21" s="14" t="n">
        <v>1.74</v>
      </c>
      <c r="L21" s="14" t="n">
        <v>3.99</v>
      </c>
      <c r="M21" s="4" t="n">
        <v>22</v>
      </c>
      <c r="N21" s="4" t="n">
        <v>3</v>
      </c>
      <c r="O21" s="4" t="n">
        <v>8</v>
      </c>
      <c r="P21" s="4" t="n">
        <v>11</v>
      </c>
      <c r="Q21" s="4" t="s">
        <v>268</v>
      </c>
      <c r="R21" s="4" t="s">
        <v>269</v>
      </c>
      <c r="S21" s="4" t="n">
        <v>16</v>
      </c>
      <c r="T21" s="4" t="n">
        <v>5</v>
      </c>
      <c r="U21" s="4" t="n">
        <v>120</v>
      </c>
      <c r="V21" s="4" t="n">
        <v>1384</v>
      </c>
      <c r="W21" s="4" t="n">
        <v>55</v>
      </c>
      <c r="X21" s="4" t="s">
        <v>270</v>
      </c>
      <c r="Y21" s="4" t="n">
        <v>68</v>
      </c>
      <c r="Z21" s="4" t="s">
        <v>271</v>
      </c>
      <c r="AA21" s="4" t="n">
        <v>5</v>
      </c>
      <c r="AB21" s="4" t="n">
        <v>24</v>
      </c>
      <c r="AC21" s="4" t="s">
        <v>272</v>
      </c>
      <c r="AD21" s="4" t="s">
        <v>273</v>
      </c>
      <c r="AE21" s="4" t="n">
        <v>35</v>
      </c>
      <c r="AF21" s="4" t="n">
        <v>21</v>
      </c>
      <c r="AG21" s="4" t="n">
        <v>18</v>
      </c>
      <c r="AH21" s="4" t="n">
        <v>11</v>
      </c>
      <c r="AI21" s="4" t="n">
        <v>89</v>
      </c>
      <c r="AJ21" s="4" t="n">
        <v>6</v>
      </c>
      <c r="AK21" s="15" t="n">
        <v>171.7</v>
      </c>
      <c r="AL21" s="4" t="n">
        <v>19680</v>
      </c>
      <c r="AM21" s="15" t="n">
        <v>33</v>
      </c>
      <c r="AN21" s="4" t="n">
        <v>182</v>
      </c>
      <c r="AO21" s="4" t="n">
        <v>12</v>
      </c>
      <c r="AP21" s="15" t="n">
        <v>7.4</v>
      </c>
      <c r="AQ21" s="4" t="n">
        <v>25</v>
      </c>
      <c r="AR21" s="15" t="n">
        <v>8.1</v>
      </c>
      <c r="AS21" s="15" t="n">
        <v>7</v>
      </c>
    </row>
    <row r="22" customFormat="false" ht="15" hidden="false" customHeight="false" outlineLevel="0" collapsed="false">
      <c r="A22" s="2" t="s">
        <v>90</v>
      </c>
      <c r="B22" s="3" t="s">
        <v>91</v>
      </c>
      <c r="C22" s="2" t="s">
        <v>28</v>
      </c>
      <c r="D22" s="2" t="s">
        <v>23</v>
      </c>
      <c r="E22" s="2" t="n">
        <v>14</v>
      </c>
      <c r="F22" s="2" t="n">
        <v>4</v>
      </c>
      <c r="G22" s="2" t="n">
        <v>630</v>
      </c>
      <c r="H22" s="2" t="n">
        <v>1</v>
      </c>
      <c r="I22" s="2" t="n">
        <v>3</v>
      </c>
      <c r="J22" s="16" t="n">
        <v>3.21</v>
      </c>
      <c r="K22" s="16" t="n">
        <v>2.72</v>
      </c>
      <c r="L22" s="16" t="n">
        <v>3.31</v>
      </c>
      <c r="M22" s="2" t="n">
        <v>16</v>
      </c>
      <c r="N22" s="2" t="n">
        <v>9</v>
      </c>
      <c r="O22" s="2" t="n">
        <v>0</v>
      </c>
      <c r="P22" s="2" t="n">
        <v>7</v>
      </c>
      <c r="Q22" s="2" t="s">
        <v>274</v>
      </c>
      <c r="R22" s="2" t="s">
        <v>275</v>
      </c>
      <c r="S22" s="2" t="n">
        <v>12</v>
      </c>
      <c r="T22" s="2" t="n">
        <v>3</v>
      </c>
      <c r="U22" s="2" t="n">
        <v>98</v>
      </c>
      <c r="V22" s="2" t="n">
        <v>732</v>
      </c>
      <c r="W22" s="2" t="n">
        <v>38</v>
      </c>
      <c r="X22" s="2" t="s">
        <v>276</v>
      </c>
      <c r="Y22" s="2" t="n">
        <v>109</v>
      </c>
      <c r="Z22" s="2" t="s">
        <v>277</v>
      </c>
      <c r="AA22" s="2" t="n">
        <v>10</v>
      </c>
      <c r="AB22" s="2" t="n">
        <v>11</v>
      </c>
      <c r="AC22" s="2" t="s">
        <v>278</v>
      </c>
      <c r="AD22" s="2" t="s">
        <v>279</v>
      </c>
      <c r="AE22" s="2" t="n">
        <v>16</v>
      </c>
      <c r="AF22" s="2" t="n">
        <v>22</v>
      </c>
      <c r="AG22" s="2" t="n">
        <v>29</v>
      </c>
      <c r="AH22" s="2" t="n">
        <v>17</v>
      </c>
      <c r="AI22" s="2" t="n">
        <v>91</v>
      </c>
      <c r="AJ22" s="2" t="n">
        <v>7</v>
      </c>
      <c r="AK22" s="17" t="n">
        <v>139.4</v>
      </c>
      <c r="AL22" s="2" t="n">
        <v>18522</v>
      </c>
      <c r="AM22" s="17" t="n">
        <v>30.1</v>
      </c>
      <c r="AN22" s="2" t="n">
        <v>223</v>
      </c>
      <c r="AO22" s="2" t="n">
        <v>22</v>
      </c>
      <c r="AP22" s="17" t="n">
        <v>5.7</v>
      </c>
      <c r="AQ22" s="2" t="n">
        <v>53</v>
      </c>
      <c r="AR22" s="17" t="n">
        <v>6.9</v>
      </c>
      <c r="AS22" s="17" t="n">
        <v>7.1</v>
      </c>
    </row>
    <row r="23" customFormat="false" ht="15" hidden="false" customHeight="false" outlineLevel="0" collapsed="false">
      <c r="A23" s="4" t="s">
        <v>93</v>
      </c>
      <c r="B23" s="5" t="s">
        <v>94</v>
      </c>
      <c r="C23" s="4" t="s">
        <v>51</v>
      </c>
      <c r="D23" s="4" t="s">
        <v>59</v>
      </c>
      <c r="E23" s="4" t="n">
        <v>14</v>
      </c>
      <c r="F23" s="4" t="n">
        <v>7</v>
      </c>
      <c r="G23" s="4" t="n">
        <v>714</v>
      </c>
      <c r="H23" s="4" t="n">
        <v>5</v>
      </c>
      <c r="I23" s="4" t="n">
        <v>5</v>
      </c>
      <c r="J23" s="14" t="n">
        <v>7.61</v>
      </c>
      <c r="K23" s="14" t="n">
        <v>4.12</v>
      </c>
      <c r="L23" s="14" t="n">
        <v>2.09</v>
      </c>
      <c r="M23" s="4" t="n">
        <v>52</v>
      </c>
      <c r="N23" s="4" t="n">
        <v>11</v>
      </c>
      <c r="O23" s="4" t="n">
        <v>24</v>
      </c>
      <c r="P23" s="4" t="n">
        <v>17</v>
      </c>
      <c r="Q23" s="4" t="s">
        <v>280</v>
      </c>
      <c r="R23" s="4" t="s">
        <v>281</v>
      </c>
      <c r="S23" s="4" t="n">
        <v>12</v>
      </c>
      <c r="T23" s="4" t="n">
        <v>5</v>
      </c>
      <c r="U23" s="4" t="n">
        <v>65</v>
      </c>
      <c r="V23" s="4" t="n">
        <v>659</v>
      </c>
      <c r="W23" s="4" t="n">
        <v>92</v>
      </c>
      <c r="X23" s="4" t="s">
        <v>282</v>
      </c>
      <c r="Y23" s="4" t="n">
        <v>82</v>
      </c>
      <c r="Z23" s="4" t="s">
        <v>283</v>
      </c>
      <c r="AA23" s="4" t="n">
        <v>6</v>
      </c>
      <c r="AB23" s="4" t="n">
        <v>29</v>
      </c>
      <c r="AC23" s="4" t="s">
        <v>284</v>
      </c>
      <c r="AD23" s="4" t="s">
        <v>285</v>
      </c>
      <c r="AE23" s="4" t="n">
        <v>28</v>
      </c>
      <c r="AF23" s="4" t="n">
        <v>8</v>
      </c>
      <c r="AG23" s="4" t="n">
        <v>6</v>
      </c>
      <c r="AH23" s="4" t="n">
        <v>10</v>
      </c>
      <c r="AI23" s="4" t="n">
        <v>40</v>
      </c>
      <c r="AJ23" s="4" t="n">
        <v>12</v>
      </c>
      <c r="AK23" s="15" t="n">
        <v>138.2</v>
      </c>
      <c r="AL23" s="4" t="n">
        <v>22666</v>
      </c>
      <c r="AM23" s="15" t="n">
        <v>31</v>
      </c>
      <c r="AN23" s="4" t="n">
        <v>198</v>
      </c>
      <c r="AO23" s="4" t="n">
        <v>21</v>
      </c>
      <c r="AP23" s="15" t="n">
        <v>5.6</v>
      </c>
      <c r="AQ23" s="4" t="n">
        <v>57</v>
      </c>
      <c r="AR23" s="15" t="n">
        <v>5</v>
      </c>
      <c r="AS23" s="15" t="n">
        <v>7.1</v>
      </c>
    </row>
    <row r="24" customFormat="false" ht="15" hidden="false" customHeight="false" outlineLevel="0" collapsed="false">
      <c r="A24" s="2" t="s">
        <v>97</v>
      </c>
      <c r="B24" s="3" t="s">
        <v>98</v>
      </c>
      <c r="C24" s="2" t="s">
        <v>28</v>
      </c>
      <c r="D24" s="2" t="s">
        <v>23</v>
      </c>
      <c r="E24" s="2" t="n">
        <v>16</v>
      </c>
      <c r="F24" s="2" t="n">
        <v>9</v>
      </c>
      <c r="G24" s="2" t="n">
        <v>752</v>
      </c>
      <c r="H24" s="2" t="n">
        <v>1</v>
      </c>
      <c r="I24" s="2" t="n">
        <v>6</v>
      </c>
      <c r="J24" s="16" t="n">
        <v>2.18</v>
      </c>
      <c r="K24" s="16" t="n">
        <v>0.74</v>
      </c>
      <c r="L24" s="16" t="n">
        <v>4.57</v>
      </c>
      <c r="M24" s="2" t="n">
        <v>14</v>
      </c>
      <c r="N24" s="2" t="n">
        <v>2</v>
      </c>
      <c r="O24" s="2" t="n">
        <v>7</v>
      </c>
      <c r="P24" s="2" t="n">
        <v>5</v>
      </c>
      <c r="Q24" s="2" t="s">
        <v>286</v>
      </c>
      <c r="R24" s="2" t="s">
        <v>287</v>
      </c>
      <c r="S24" s="2" t="n">
        <v>17</v>
      </c>
      <c r="T24" s="2" t="n">
        <v>6</v>
      </c>
      <c r="U24" s="2" t="n">
        <v>113</v>
      </c>
      <c r="V24" s="2" t="n">
        <v>716</v>
      </c>
      <c r="W24" s="2" t="n">
        <v>54</v>
      </c>
      <c r="X24" s="2" t="s">
        <v>288</v>
      </c>
      <c r="Y24" s="2" t="n">
        <v>47</v>
      </c>
      <c r="Z24" s="2" t="s">
        <v>289</v>
      </c>
      <c r="AA24" s="2" t="n">
        <v>17</v>
      </c>
      <c r="AB24" s="2" t="n">
        <v>10</v>
      </c>
      <c r="AC24" s="2" t="s">
        <v>290</v>
      </c>
      <c r="AD24" s="2" t="s">
        <v>209</v>
      </c>
      <c r="AE24" s="2" t="n">
        <v>22</v>
      </c>
      <c r="AF24" s="2" t="n">
        <v>22</v>
      </c>
      <c r="AG24" s="2" t="n">
        <v>38</v>
      </c>
      <c r="AH24" s="2" t="n">
        <v>21</v>
      </c>
      <c r="AI24" s="2" t="n">
        <v>91</v>
      </c>
      <c r="AJ24" s="2" t="n">
        <v>20</v>
      </c>
      <c r="AK24" s="17" t="n">
        <v>153.3</v>
      </c>
      <c r="AL24" s="2" t="n">
        <v>30112</v>
      </c>
      <c r="AM24" s="17" t="n">
        <v>29.9</v>
      </c>
      <c r="AN24" s="2" t="n">
        <v>161</v>
      </c>
      <c r="AO24" s="2" t="n">
        <v>15</v>
      </c>
      <c r="AP24" s="17" t="n">
        <v>7.3</v>
      </c>
      <c r="AQ24" s="2" t="n">
        <v>52</v>
      </c>
      <c r="AR24" s="17" t="n">
        <v>7.3</v>
      </c>
      <c r="AS24" s="17" t="n">
        <v>7.4</v>
      </c>
    </row>
    <row r="25" customFormat="false" ht="15" hidden="false" customHeight="false" outlineLevel="0" collapsed="false">
      <c r="A25" s="4" t="s">
        <v>101</v>
      </c>
      <c r="B25" s="5" t="s">
        <v>102</v>
      </c>
      <c r="C25" s="4" t="s">
        <v>34</v>
      </c>
      <c r="D25" s="4" t="s">
        <v>35</v>
      </c>
      <c r="E25" s="4" t="n">
        <v>15</v>
      </c>
      <c r="F25" s="4" t="n">
        <v>15</v>
      </c>
      <c r="G25" s="4" t="n">
        <v>1155</v>
      </c>
      <c r="H25" s="4" t="n">
        <v>0</v>
      </c>
      <c r="I25" s="4" t="n">
        <v>1</v>
      </c>
      <c r="J25" s="14" t="n">
        <v>1.7</v>
      </c>
      <c r="K25" s="14" t="n">
        <v>0.99</v>
      </c>
      <c r="L25" s="14" t="n">
        <v>1.49</v>
      </c>
      <c r="M25" s="4" t="n">
        <v>14</v>
      </c>
      <c r="N25" s="4" t="n">
        <v>2</v>
      </c>
      <c r="O25" s="4" t="n">
        <v>10</v>
      </c>
      <c r="P25" s="4" t="n">
        <v>2</v>
      </c>
      <c r="Q25" s="4" t="s">
        <v>286</v>
      </c>
      <c r="R25" s="4" t="s">
        <v>291</v>
      </c>
      <c r="S25" s="4" t="n">
        <v>9</v>
      </c>
      <c r="T25" s="4" t="n">
        <v>0</v>
      </c>
      <c r="U25" s="4" t="n">
        <v>66</v>
      </c>
      <c r="V25" s="4" t="n">
        <v>858</v>
      </c>
      <c r="W25" s="4" t="n">
        <v>16</v>
      </c>
      <c r="X25" s="4" t="s">
        <v>292</v>
      </c>
      <c r="Y25" s="4" t="n">
        <v>54</v>
      </c>
      <c r="Z25" s="4" t="s">
        <v>265</v>
      </c>
      <c r="AA25" s="4" t="n">
        <v>4</v>
      </c>
      <c r="AB25" s="4" t="n">
        <v>11</v>
      </c>
      <c r="AC25" s="4" t="s">
        <v>293</v>
      </c>
      <c r="AD25" s="4" t="s">
        <v>294</v>
      </c>
      <c r="AE25" s="4" t="n">
        <v>12</v>
      </c>
      <c r="AF25" s="4" t="n">
        <v>12</v>
      </c>
      <c r="AG25" s="4" t="n">
        <v>15</v>
      </c>
      <c r="AH25" s="4" t="n">
        <v>27</v>
      </c>
      <c r="AI25" s="4" t="n">
        <v>61</v>
      </c>
      <c r="AJ25" s="4" t="n">
        <v>17</v>
      </c>
      <c r="AK25" s="15" t="n">
        <v>124.4</v>
      </c>
      <c r="AL25" s="4" t="n">
        <v>18720</v>
      </c>
      <c r="AM25" s="15" t="n">
        <v>28.8</v>
      </c>
      <c r="AN25" s="4" t="n">
        <v>90</v>
      </c>
      <c r="AO25" s="4" t="n">
        <v>6</v>
      </c>
      <c r="AP25" s="15" t="n">
        <v>2.5</v>
      </c>
      <c r="AQ25" s="4" t="n">
        <v>17</v>
      </c>
      <c r="AR25" s="15" t="n">
        <v>8.5</v>
      </c>
      <c r="AS25" s="15" t="n">
        <v>6.6</v>
      </c>
    </row>
    <row r="26" customFormat="false" ht="15" hidden="false" customHeight="false" outlineLevel="0" collapsed="false">
      <c r="A26" s="2" t="s">
        <v>104</v>
      </c>
      <c r="B26" s="3" t="s">
        <v>105</v>
      </c>
      <c r="C26" s="2" t="s">
        <v>28</v>
      </c>
      <c r="D26" s="2" t="s">
        <v>17</v>
      </c>
      <c r="E26" s="2" t="n">
        <v>8</v>
      </c>
      <c r="F26" s="2" t="n">
        <v>4</v>
      </c>
      <c r="G26" s="2" t="n">
        <v>352</v>
      </c>
      <c r="H26" s="2" t="n">
        <v>4</v>
      </c>
      <c r="I26" s="2" t="n">
        <v>2</v>
      </c>
      <c r="J26" s="16" t="n">
        <v>1.28</v>
      </c>
      <c r="K26" s="16" t="n">
        <v>1.07</v>
      </c>
      <c r="L26" s="16" t="n">
        <v>3.35</v>
      </c>
      <c r="M26" s="2" t="n">
        <v>24</v>
      </c>
      <c r="N26" s="2" t="n">
        <v>9</v>
      </c>
      <c r="O26" s="2" t="n">
        <v>9</v>
      </c>
      <c r="P26" s="2" t="n">
        <v>6</v>
      </c>
      <c r="Q26" s="2" t="s">
        <v>295</v>
      </c>
      <c r="R26" s="2" t="s">
        <v>296</v>
      </c>
      <c r="S26" s="2" t="n">
        <v>11</v>
      </c>
      <c r="T26" s="2" t="n">
        <v>4</v>
      </c>
      <c r="U26" s="2" t="n">
        <v>107</v>
      </c>
      <c r="V26" s="2" t="n">
        <v>353</v>
      </c>
      <c r="W26" s="2" t="n">
        <v>29</v>
      </c>
      <c r="X26" s="2" t="s">
        <v>297</v>
      </c>
      <c r="Y26" s="2" t="n">
        <v>95</v>
      </c>
      <c r="Z26" s="2" t="s">
        <v>283</v>
      </c>
      <c r="AA26" s="2" t="n">
        <v>4</v>
      </c>
      <c r="AB26" s="2" t="n">
        <v>23</v>
      </c>
      <c r="AC26" s="2" t="s">
        <v>298</v>
      </c>
      <c r="AD26" s="2" t="s">
        <v>299</v>
      </c>
      <c r="AE26" s="2" t="n">
        <v>15</v>
      </c>
      <c r="AF26" s="2" t="n">
        <v>21</v>
      </c>
      <c r="AG26" s="2" t="n">
        <v>37</v>
      </c>
      <c r="AH26" s="2" t="n">
        <v>23</v>
      </c>
      <c r="AI26" s="2" t="n">
        <v>89</v>
      </c>
      <c r="AJ26" s="2" t="n">
        <v>18</v>
      </c>
      <c r="AK26" s="17" t="n">
        <v>83.4</v>
      </c>
      <c r="AL26" s="2" t="n">
        <v>13096</v>
      </c>
      <c r="AM26" s="17" t="n">
        <v>30.3</v>
      </c>
      <c r="AN26" s="2" t="n">
        <v>197</v>
      </c>
      <c r="AO26" s="2" t="n">
        <v>20</v>
      </c>
      <c r="AP26" s="17" t="n">
        <v>7.9</v>
      </c>
      <c r="AQ26" s="2" t="n">
        <v>49</v>
      </c>
      <c r="AR26" s="17" t="n">
        <v>8.5</v>
      </c>
      <c r="AS26" s="17" t="n">
        <v>6.9</v>
      </c>
    </row>
    <row r="27" customFormat="false" ht="15" hidden="false" customHeight="false" outlineLevel="0" collapsed="false">
      <c r="A27" s="4" t="s">
        <v>107</v>
      </c>
      <c r="B27" s="5" t="s">
        <v>108</v>
      </c>
      <c r="C27" s="4" t="s">
        <v>34</v>
      </c>
      <c r="D27" s="4" t="s">
        <v>35</v>
      </c>
      <c r="E27" s="4" t="n">
        <v>17</v>
      </c>
      <c r="F27" s="4" t="n">
        <v>13</v>
      </c>
      <c r="G27" s="4" t="n">
        <v>1377</v>
      </c>
      <c r="H27" s="4" t="n">
        <v>2</v>
      </c>
      <c r="I27" s="4" t="n">
        <v>2</v>
      </c>
      <c r="J27" s="14" t="n">
        <v>0.97</v>
      </c>
      <c r="K27" s="14" t="n">
        <v>0.84</v>
      </c>
      <c r="L27" s="14" t="n">
        <v>0.41</v>
      </c>
      <c r="M27" s="4" t="n">
        <v>11</v>
      </c>
      <c r="N27" s="4" t="n">
        <v>0</v>
      </c>
      <c r="O27" s="4" t="n">
        <v>7</v>
      </c>
      <c r="P27" s="4" t="n">
        <v>4</v>
      </c>
      <c r="Q27" s="4" t="s">
        <v>300</v>
      </c>
      <c r="R27" s="4" t="s">
        <v>301</v>
      </c>
      <c r="S27" s="4" t="n">
        <v>2</v>
      </c>
      <c r="T27" s="4" t="n">
        <v>3</v>
      </c>
      <c r="U27" s="4" t="n">
        <v>117</v>
      </c>
      <c r="V27" s="4" t="n">
        <v>1193</v>
      </c>
      <c r="W27" s="4" t="n">
        <v>15</v>
      </c>
      <c r="X27" s="4" t="s">
        <v>302</v>
      </c>
      <c r="Y27" s="4" t="n">
        <v>37</v>
      </c>
      <c r="Z27" s="4" t="s">
        <v>303</v>
      </c>
      <c r="AA27" s="4" t="n">
        <v>7</v>
      </c>
      <c r="AB27" s="4" t="n">
        <v>8</v>
      </c>
      <c r="AC27" s="4" t="s">
        <v>304</v>
      </c>
      <c r="AD27" s="4" t="s">
        <v>288</v>
      </c>
      <c r="AE27" s="4" t="n">
        <v>10</v>
      </c>
      <c r="AF27" s="4" t="n">
        <v>13</v>
      </c>
      <c r="AG27" s="4" t="n">
        <v>31</v>
      </c>
      <c r="AH27" s="4" t="n">
        <v>22</v>
      </c>
      <c r="AI27" s="4" t="n">
        <v>57</v>
      </c>
      <c r="AJ27" s="4" t="n">
        <v>7</v>
      </c>
      <c r="AK27" s="15" t="n">
        <v>147.9</v>
      </c>
      <c r="AL27" s="4" t="n">
        <v>16014</v>
      </c>
      <c r="AM27" s="15" t="n">
        <v>30.8</v>
      </c>
      <c r="AN27" s="4" t="n">
        <v>131</v>
      </c>
      <c r="AO27" s="4" t="n">
        <v>9</v>
      </c>
      <c r="AP27" s="15" t="n">
        <v>4.8</v>
      </c>
      <c r="AQ27" s="4" t="n">
        <v>13</v>
      </c>
      <c r="AR27" s="15" t="n">
        <v>11.2</v>
      </c>
      <c r="AS27" s="15" t="n">
        <v>6.8</v>
      </c>
    </row>
    <row r="28" customFormat="false" ht="15" hidden="false" customHeight="false" outlineLevel="0" collapsed="false">
      <c r="A28" s="2" t="s">
        <v>110</v>
      </c>
      <c r="B28" s="3" t="s">
        <v>111</v>
      </c>
      <c r="C28" s="2" t="s">
        <v>34</v>
      </c>
      <c r="D28" s="2" t="s">
        <v>35</v>
      </c>
      <c r="E28" s="2" t="n">
        <v>15</v>
      </c>
      <c r="F28" s="2" t="n">
        <v>9</v>
      </c>
      <c r="G28" s="2" t="n">
        <v>780</v>
      </c>
      <c r="H28" s="2" t="n">
        <v>1</v>
      </c>
      <c r="I28" s="2" t="n">
        <v>0</v>
      </c>
      <c r="J28" s="16" t="n">
        <v>0.75</v>
      </c>
      <c r="K28" s="16" t="n">
        <v>1.24</v>
      </c>
      <c r="L28" s="16" t="n">
        <v>0.8</v>
      </c>
      <c r="M28" s="2" t="n">
        <v>4</v>
      </c>
      <c r="N28" s="2" t="n">
        <v>3</v>
      </c>
      <c r="O28" s="2" t="n">
        <v>0</v>
      </c>
      <c r="P28" s="2" t="n">
        <v>1</v>
      </c>
      <c r="Q28" s="2" t="s">
        <v>305</v>
      </c>
      <c r="R28" s="2" t="s">
        <v>306</v>
      </c>
      <c r="S28" s="2" t="n">
        <v>8</v>
      </c>
      <c r="T28" s="2" t="n">
        <v>2</v>
      </c>
      <c r="U28" s="2" t="n">
        <v>101</v>
      </c>
      <c r="V28" s="2" t="n">
        <v>525</v>
      </c>
      <c r="W28" s="2" t="n">
        <v>12</v>
      </c>
      <c r="X28" s="2" t="s">
        <v>204</v>
      </c>
      <c r="Y28" s="2" t="n">
        <v>62</v>
      </c>
      <c r="Z28" s="2" t="s">
        <v>307</v>
      </c>
      <c r="AA28" s="2" t="n">
        <v>2</v>
      </c>
      <c r="AB28" s="2" t="n">
        <v>14</v>
      </c>
      <c r="AC28" s="2" t="s">
        <v>308</v>
      </c>
      <c r="AD28" s="2" t="s">
        <v>309</v>
      </c>
      <c r="AE28" s="2" t="n">
        <v>12</v>
      </c>
      <c r="AF28" s="2" t="n">
        <v>15</v>
      </c>
      <c r="AG28" s="2" t="n">
        <v>34</v>
      </c>
      <c r="AH28" s="2" t="n">
        <v>13</v>
      </c>
      <c r="AI28" s="2" t="n">
        <v>58</v>
      </c>
      <c r="AJ28" s="2" t="n">
        <v>15</v>
      </c>
      <c r="AK28" s="17" t="n">
        <v>131</v>
      </c>
      <c r="AL28" s="2" t="n">
        <v>20040</v>
      </c>
      <c r="AM28" s="17" t="n">
        <v>32.2</v>
      </c>
      <c r="AN28" s="2" t="n">
        <v>159</v>
      </c>
      <c r="AO28" s="2" t="n">
        <v>8</v>
      </c>
      <c r="AP28" s="17" t="n">
        <v>4.1</v>
      </c>
      <c r="AQ28" s="2" t="n">
        <v>22</v>
      </c>
      <c r="AR28" s="17" t="n">
        <v>10.5</v>
      </c>
      <c r="AS28" s="17" t="n">
        <v>7.3</v>
      </c>
    </row>
    <row r="29" customFormat="false" ht="15" hidden="false" customHeight="false" outlineLevel="0" collapsed="false">
      <c r="A29" s="4" t="s">
        <v>113</v>
      </c>
      <c r="B29" s="5" t="s">
        <v>114</v>
      </c>
      <c r="C29" s="4" t="s">
        <v>34</v>
      </c>
      <c r="D29" s="4" t="s">
        <v>35</v>
      </c>
      <c r="E29" s="4" t="n">
        <v>17</v>
      </c>
      <c r="F29" s="4" t="n">
        <v>4</v>
      </c>
      <c r="G29" s="4" t="n">
        <v>867</v>
      </c>
      <c r="H29" s="4" t="n">
        <v>1</v>
      </c>
      <c r="I29" s="4" t="n">
        <v>1</v>
      </c>
      <c r="J29" s="14" t="n">
        <v>1.1</v>
      </c>
      <c r="K29" s="14" t="n">
        <v>0.75</v>
      </c>
      <c r="L29" s="14" t="n">
        <v>2.08</v>
      </c>
      <c r="M29" s="4" t="n">
        <v>14</v>
      </c>
      <c r="N29" s="4" t="n">
        <v>4</v>
      </c>
      <c r="O29" s="4" t="n">
        <v>2</v>
      </c>
      <c r="P29" s="4" t="n">
        <v>8</v>
      </c>
      <c r="Q29" s="4" t="s">
        <v>310</v>
      </c>
      <c r="R29" s="4" t="s">
        <v>311</v>
      </c>
      <c r="S29" s="4" t="n">
        <v>3</v>
      </c>
      <c r="T29" s="4" t="n">
        <v>0</v>
      </c>
      <c r="U29" s="4" t="n">
        <v>103</v>
      </c>
      <c r="V29" s="4" t="n">
        <v>661</v>
      </c>
      <c r="W29" s="4" t="n">
        <v>29</v>
      </c>
      <c r="X29" s="4" t="s">
        <v>312</v>
      </c>
      <c r="Y29" s="4" t="n">
        <v>39</v>
      </c>
      <c r="Z29" s="4" t="s">
        <v>310</v>
      </c>
      <c r="AA29" s="4" t="n">
        <v>8</v>
      </c>
      <c r="AB29" s="4" t="n">
        <v>11</v>
      </c>
      <c r="AC29" s="4" t="s">
        <v>313</v>
      </c>
      <c r="AD29" s="4" t="s">
        <v>314</v>
      </c>
      <c r="AE29" s="4" t="n">
        <v>17</v>
      </c>
      <c r="AF29" s="4" t="n">
        <v>25</v>
      </c>
      <c r="AG29" s="4" t="n">
        <v>36</v>
      </c>
      <c r="AH29" s="4" t="n">
        <v>24</v>
      </c>
      <c r="AI29" s="4" t="n">
        <v>42</v>
      </c>
      <c r="AJ29" s="4" t="n">
        <v>7</v>
      </c>
      <c r="AK29" s="15" t="n">
        <v>140.5</v>
      </c>
      <c r="AL29" s="4" t="n">
        <v>18326</v>
      </c>
      <c r="AM29" s="15" t="n">
        <v>29.9</v>
      </c>
      <c r="AN29" s="4" t="n">
        <v>180</v>
      </c>
      <c r="AO29" s="4" t="n">
        <v>9</v>
      </c>
      <c r="AP29" s="15" t="n">
        <v>3.5</v>
      </c>
      <c r="AQ29" s="4" t="n">
        <v>22</v>
      </c>
      <c r="AR29" s="15" t="n">
        <v>11.6</v>
      </c>
      <c r="AS29" s="15" t="n">
        <v>6.7</v>
      </c>
    </row>
    <row r="30" customFormat="false" ht="15" hidden="false" customHeight="false" outlineLevel="0" collapsed="false">
      <c r="A30" s="2" t="s">
        <v>115</v>
      </c>
      <c r="B30" s="3" t="s">
        <v>116</v>
      </c>
      <c r="C30" s="2" t="s">
        <v>51</v>
      </c>
      <c r="D30" s="2" t="s">
        <v>23</v>
      </c>
      <c r="E30" s="2" t="n">
        <v>14</v>
      </c>
      <c r="F30" s="2" t="n">
        <v>3</v>
      </c>
      <c r="G30" s="2" t="n">
        <v>798</v>
      </c>
      <c r="H30" s="2" t="n">
        <v>3</v>
      </c>
      <c r="I30" s="2" t="n">
        <v>6</v>
      </c>
      <c r="J30" s="16" t="n">
        <v>6.53</v>
      </c>
      <c r="K30" s="16" t="n">
        <v>6.17</v>
      </c>
      <c r="L30" s="16" t="n">
        <v>2.8</v>
      </c>
      <c r="M30" s="2" t="n">
        <v>20</v>
      </c>
      <c r="N30" s="2" t="n">
        <v>15</v>
      </c>
      <c r="O30" s="2" t="n">
        <v>1</v>
      </c>
      <c r="P30" s="2" t="n">
        <v>4</v>
      </c>
      <c r="Q30" s="2" t="s">
        <v>315</v>
      </c>
      <c r="R30" s="2" t="s">
        <v>316</v>
      </c>
      <c r="S30" s="2" t="n">
        <v>12</v>
      </c>
      <c r="T30" s="2" t="n">
        <v>6</v>
      </c>
      <c r="U30" s="2" t="n">
        <v>69</v>
      </c>
      <c r="V30" s="2" t="n">
        <v>633</v>
      </c>
      <c r="W30" s="2" t="n">
        <v>113</v>
      </c>
      <c r="X30" s="2" t="s">
        <v>317</v>
      </c>
      <c r="Y30" s="2" t="n">
        <v>67</v>
      </c>
      <c r="Z30" s="2" t="s">
        <v>318</v>
      </c>
      <c r="AA30" s="2" t="n">
        <v>10</v>
      </c>
      <c r="AB30" s="2" t="n">
        <v>17</v>
      </c>
      <c r="AC30" s="2" t="s">
        <v>319</v>
      </c>
      <c r="AD30" s="2" t="s">
        <v>320</v>
      </c>
      <c r="AE30" s="2" t="n">
        <v>31</v>
      </c>
      <c r="AF30" s="2" t="n">
        <v>22</v>
      </c>
      <c r="AG30" s="2" t="n">
        <v>15</v>
      </c>
      <c r="AH30" s="2" t="n">
        <v>12</v>
      </c>
      <c r="AI30" s="2" t="n">
        <v>29</v>
      </c>
      <c r="AJ30" s="2" t="n">
        <v>12</v>
      </c>
      <c r="AK30" s="17" t="n">
        <v>136.8</v>
      </c>
      <c r="AL30" s="2" t="n">
        <v>26222</v>
      </c>
      <c r="AM30" s="17" t="n">
        <v>32.7</v>
      </c>
      <c r="AN30" s="2" t="n">
        <v>166</v>
      </c>
      <c r="AO30" s="2" t="n">
        <v>17</v>
      </c>
      <c r="AP30" s="17" t="n">
        <v>7.3</v>
      </c>
      <c r="AQ30" s="2" t="n">
        <v>79</v>
      </c>
      <c r="AR30" s="17" t="n">
        <v>5.9</v>
      </c>
      <c r="AS30" s="17" t="n">
        <v>7.2</v>
      </c>
    </row>
    <row r="31" customFormat="false" ht="15" hidden="false" customHeight="false" outlineLevel="0" collapsed="false">
      <c r="A31" s="4" t="s">
        <v>119</v>
      </c>
      <c r="B31" s="5" t="s">
        <v>120</v>
      </c>
      <c r="C31" s="4" t="s">
        <v>9</v>
      </c>
      <c r="D31" s="4" t="s">
        <v>59</v>
      </c>
      <c r="E31" s="4" t="n">
        <v>17</v>
      </c>
      <c r="F31" s="4" t="n">
        <v>17</v>
      </c>
      <c r="G31" s="4" t="n">
        <v>1530</v>
      </c>
      <c r="H31" s="4" t="n">
        <v>0</v>
      </c>
      <c r="I31" s="4" t="n">
        <v>0</v>
      </c>
      <c r="J31" s="14" t="n">
        <v>0</v>
      </c>
      <c r="K31" s="14" t="n">
        <v>0</v>
      </c>
      <c r="L31" s="14" t="n">
        <v>0.1</v>
      </c>
      <c r="M31" s="4" t="n">
        <v>0</v>
      </c>
      <c r="N31" s="4" t="n">
        <v>0</v>
      </c>
      <c r="O31" s="4" t="n">
        <v>0</v>
      </c>
      <c r="P31" s="4" t="n">
        <v>0</v>
      </c>
      <c r="Q31" s="4" t="s">
        <v>171</v>
      </c>
      <c r="R31" s="4" t="s">
        <v>321</v>
      </c>
      <c r="S31" s="4" t="n">
        <v>0</v>
      </c>
      <c r="T31" s="4" t="n">
        <v>0</v>
      </c>
      <c r="U31" s="4" t="n">
        <v>79</v>
      </c>
      <c r="V31" s="4" t="n">
        <v>643</v>
      </c>
      <c r="W31" s="4" t="n">
        <v>0</v>
      </c>
      <c r="X31" s="4" t="s">
        <v>171</v>
      </c>
      <c r="Y31" s="4" t="n">
        <v>12</v>
      </c>
      <c r="Z31" s="4" t="s">
        <v>171</v>
      </c>
      <c r="AA31" s="4" t="n">
        <v>0</v>
      </c>
      <c r="AB31" s="4" t="n">
        <v>3</v>
      </c>
      <c r="AC31" s="4" t="s">
        <v>322</v>
      </c>
      <c r="AD31" s="4" t="s">
        <v>323</v>
      </c>
      <c r="AE31" s="4" t="n">
        <v>4</v>
      </c>
      <c r="AF31" s="4" t="n">
        <v>0</v>
      </c>
      <c r="AG31" s="4" t="n">
        <v>1</v>
      </c>
      <c r="AH31" s="4" t="n">
        <v>3</v>
      </c>
      <c r="AI31" s="4" t="n">
        <v>23</v>
      </c>
      <c r="AJ31" s="4" t="n">
        <v>2</v>
      </c>
      <c r="AK31" s="15" t="n">
        <v>88.7</v>
      </c>
      <c r="AL31" s="4" t="n">
        <v>4454</v>
      </c>
      <c r="AM31" s="15" t="n">
        <v>24.6</v>
      </c>
      <c r="AN31" s="4" t="n">
        <v>51</v>
      </c>
      <c r="AO31" s="4" t="n">
        <v>0</v>
      </c>
      <c r="AP31" s="15" t="n">
        <v>0.9</v>
      </c>
      <c r="AQ31" s="4" t="n">
        <v>0</v>
      </c>
      <c r="AR31" s="15" t="n">
        <v>2.2</v>
      </c>
      <c r="AS31" s="15" t="n">
        <v>7.5</v>
      </c>
    </row>
    <row r="32" customFormat="false" ht="15" hidden="false" customHeight="false" outlineLevel="0" collapsed="false">
      <c r="A32" s="1"/>
      <c r="B32" s="20" t="s">
        <v>324</v>
      </c>
      <c r="C32" s="1"/>
      <c r="D32" s="1"/>
      <c r="E32" s="1" t="n">
        <f aca="false">SUM(E3:E31)</f>
        <v>432</v>
      </c>
      <c r="F32" s="1" t="n">
        <f aca="false">SUM(F3:F31)</f>
        <v>267</v>
      </c>
      <c r="G32" s="1" t="n">
        <f aca="false">SUM(G3:G31)</f>
        <v>27754</v>
      </c>
      <c r="H32" s="1" t="n">
        <f aca="false">SUM(H3:H31)</f>
        <v>74</v>
      </c>
      <c r="I32" s="1" t="n">
        <f aca="false">SUM(I3:I31)</f>
        <v>83</v>
      </c>
      <c r="J32" s="21" t="n">
        <f aca="false">SUM(J3:J31)</f>
        <v>93.57</v>
      </c>
      <c r="K32" s="21" t="n">
        <f aca="false">SUM(K3:K31)</f>
        <v>63.69</v>
      </c>
      <c r="L32" s="21" t="n">
        <f aca="false">SUM(L3:L31)</f>
        <v>68.17</v>
      </c>
      <c r="M32" s="1" t="n">
        <f aca="false">SUM(M3:M31)</f>
        <v>577</v>
      </c>
      <c r="N32" s="1" t="n">
        <f aca="false">SUM(N3:N31)</f>
        <v>223</v>
      </c>
      <c r="O32" s="1" t="n">
        <f aca="false">SUM(O3:O31)</f>
        <v>216</v>
      </c>
      <c r="P32" s="1" t="n">
        <f aca="false">SUM(P3:P31)</f>
        <v>138</v>
      </c>
      <c r="Q32" s="1"/>
      <c r="R32" s="1"/>
      <c r="S32" s="1" t="n">
        <f aca="false">SUM(S3:S31)</f>
        <v>346</v>
      </c>
      <c r="T32" s="1" t="n">
        <f aca="false">SUM(T3:T31)</f>
        <v>107</v>
      </c>
      <c r="U32" s="1" t="n">
        <f aca="false">SUM(U3:U31)</f>
        <v>2414</v>
      </c>
      <c r="V32" s="1" t="n">
        <f aca="false">SUM(V3:V31)</f>
        <v>23073</v>
      </c>
      <c r="W32" s="1" t="n">
        <f aca="false">SUM(W3:W31)</f>
        <v>1307</v>
      </c>
      <c r="X32" s="1"/>
      <c r="Y32" s="1" t="n">
        <f aca="false">SUM(Y3:Y31)</f>
        <v>1630</v>
      </c>
      <c r="Z32" s="1"/>
      <c r="AA32" s="1" t="n">
        <f aca="false">SUM(AA3:AA31)</f>
        <v>200</v>
      </c>
      <c r="AB32" s="1" t="n">
        <f aca="false">SUM(AB3:AB31)</f>
        <v>439</v>
      </c>
      <c r="AC32" s="1"/>
      <c r="AD32" s="1"/>
      <c r="AE32" s="1" t="n">
        <f aca="false">SUM(AE3:AE31)</f>
        <v>577</v>
      </c>
      <c r="AF32" s="1" t="n">
        <f aca="false">SUM(AF3:AF31)</f>
        <v>427</v>
      </c>
      <c r="AG32" s="1" t="n">
        <f aca="false">SUM(AG3:AG31)</f>
        <v>604</v>
      </c>
      <c r="AH32" s="1" t="n">
        <f aca="false">SUM(AH3:AH31)</f>
        <v>440</v>
      </c>
      <c r="AI32" s="1" t="n">
        <f aca="false">SUM(AI3:AI31)</f>
        <v>1518</v>
      </c>
      <c r="AJ32" s="1" t="n">
        <f aca="false">SUM(AJ3:AJ31)</f>
        <v>274</v>
      </c>
      <c r="AK32" s="22" t="n">
        <f aca="false">SUM(AK3:AK31)</f>
        <v>3930.2</v>
      </c>
      <c r="AL32" s="1" t="n">
        <f aca="false">SUM(AL3:AL31)</f>
        <v>574005</v>
      </c>
      <c r="AM32" s="22" t="n">
        <f aca="false">ROUND(AVERAGE(AM3:AM31),1)</f>
        <v>30.2</v>
      </c>
      <c r="AN32" s="1" t="n">
        <f aca="false">SUM(AN3:AN31)</f>
        <v>4679</v>
      </c>
      <c r="AO32" s="1" t="n">
        <f aca="false">SUM(AO3:AO31)</f>
        <v>381</v>
      </c>
      <c r="AP32" s="22" t="n">
        <f aca="false">ROUND(AVERAGE(AP3:AP31),1)</f>
        <v>5.3</v>
      </c>
      <c r="AQ32" s="1" t="n">
        <f aca="false">SUM(AQ3:AQ31)</f>
        <v>1035</v>
      </c>
      <c r="AR32" s="22" t="n">
        <f aca="false">ROUND(AVERAGE(AR3:AR31),1)</f>
        <v>7</v>
      </c>
      <c r="AS32" s="22" t="n">
        <f aca="false">ROUND(AVERAGE(AS3:AS31),1)</f>
        <v>7</v>
      </c>
    </row>
  </sheetData>
  <mergeCells count="6">
    <mergeCell ref="A1:G1"/>
    <mergeCell ref="H1:U1"/>
    <mergeCell ref="V1:AB1"/>
    <mergeCell ref="AC1:AF1"/>
    <mergeCell ref="AG1:AJ1"/>
    <mergeCell ref="AK1:A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22" min="5" style="0" width="12"/>
  </cols>
  <sheetData>
    <row r="1" customFormat="false" ht="25.5" hidden="false" customHeight="true" outlineLevel="0" collapsed="false">
      <c r="A1" s="12" t="s">
        <v>325</v>
      </c>
      <c r="B1" s="12" t="s">
        <v>326</v>
      </c>
      <c r="C1" s="12" t="s">
        <v>327</v>
      </c>
      <c r="D1" s="12" t="s">
        <v>328</v>
      </c>
      <c r="E1" s="12" t="s">
        <v>329</v>
      </c>
      <c r="F1" s="12" t="s">
        <v>133</v>
      </c>
      <c r="G1" s="12" t="s">
        <v>134</v>
      </c>
      <c r="H1" s="12" t="s">
        <v>138</v>
      </c>
      <c r="I1" s="12" t="s">
        <v>330</v>
      </c>
      <c r="J1" s="12" t="s">
        <v>331</v>
      </c>
      <c r="K1" s="12" t="s">
        <v>332</v>
      </c>
      <c r="L1" s="12" t="s">
        <v>333</v>
      </c>
      <c r="M1" s="12" t="s">
        <v>334</v>
      </c>
      <c r="N1" s="12" t="s">
        <v>147</v>
      </c>
      <c r="O1" s="12" t="s">
        <v>335</v>
      </c>
      <c r="P1" s="12" t="s">
        <v>336</v>
      </c>
      <c r="Q1" s="12" t="s">
        <v>337</v>
      </c>
      <c r="R1" s="12" t="s">
        <v>338</v>
      </c>
      <c r="S1" s="12" t="s">
        <v>339</v>
      </c>
      <c r="T1" s="12" t="s">
        <v>340</v>
      </c>
      <c r="U1" s="12" t="s">
        <v>341</v>
      </c>
      <c r="V1" s="12" t="s">
        <v>170</v>
      </c>
    </row>
    <row r="2" customFormat="false" ht="15" hidden="false" customHeight="false" outlineLevel="0" collapsed="false">
      <c r="A2" s="4" t="n">
        <v>1</v>
      </c>
      <c r="B2" s="4" t="s">
        <v>342</v>
      </c>
      <c r="C2" s="5" t="s">
        <v>343</v>
      </c>
      <c r="D2" s="4" t="s">
        <v>344</v>
      </c>
      <c r="E2" s="4" t="n">
        <v>90</v>
      </c>
      <c r="F2" s="4" t="n">
        <v>0</v>
      </c>
      <c r="G2" s="4" t="n">
        <v>0</v>
      </c>
      <c r="H2" s="4" t="n">
        <v>3</v>
      </c>
      <c r="I2" s="4" t="n">
        <v>1</v>
      </c>
      <c r="J2" s="14" t="n">
        <v>0.3</v>
      </c>
      <c r="K2" s="14" t="n">
        <v>0.1</v>
      </c>
      <c r="L2" s="4" t="n">
        <v>27</v>
      </c>
      <c r="M2" s="23" t="n">
        <v>84</v>
      </c>
      <c r="N2" s="4" t="n">
        <v>44</v>
      </c>
      <c r="O2" s="4" t="n">
        <v>6</v>
      </c>
      <c r="P2" s="15" t="n">
        <v>9.9</v>
      </c>
      <c r="Q2" s="4" t="n">
        <v>1636</v>
      </c>
      <c r="R2" s="15" t="n">
        <v>32.6</v>
      </c>
      <c r="S2" s="4" t="n">
        <v>12</v>
      </c>
      <c r="T2" s="4" t="n">
        <v>3</v>
      </c>
      <c r="U2" s="4" t="n">
        <v>6</v>
      </c>
      <c r="V2" s="15" t="n">
        <v>7.1</v>
      </c>
    </row>
    <row r="3" customFormat="false" ht="15" hidden="false" customHeight="false" outlineLevel="0" collapsed="false">
      <c r="A3" s="2" t="n">
        <v>2</v>
      </c>
      <c r="B3" s="2" t="s">
        <v>345</v>
      </c>
      <c r="C3" s="3" t="s">
        <v>346</v>
      </c>
      <c r="D3" s="2" t="s">
        <v>347</v>
      </c>
      <c r="E3" s="2" t="n">
        <v>90</v>
      </c>
      <c r="F3" s="2" t="n">
        <v>0</v>
      </c>
      <c r="G3" s="2" t="n">
        <v>1</v>
      </c>
      <c r="H3" s="2" t="n">
        <v>4</v>
      </c>
      <c r="I3" s="2" t="n">
        <v>2</v>
      </c>
      <c r="J3" s="16" t="n">
        <v>0.5</v>
      </c>
      <c r="K3" s="16" t="n">
        <v>0.6</v>
      </c>
      <c r="L3" s="2" t="n">
        <v>32</v>
      </c>
      <c r="M3" s="24" t="n">
        <v>74</v>
      </c>
      <c r="N3" s="2" t="n">
        <v>57</v>
      </c>
      <c r="O3" s="2" t="n">
        <v>11</v>
      </c>
      <c r="P3" s="17" t="n">
        <v>9.8</v>
      </c>
      <c r="Q3" s="2" t="n">
        <v>2127</v>
      </c>
      <c r="R3" s="17" t="n">
        <v>32.1</v>
      </c>
      <c r="S3" s="2" t="n">
        <v>13</v>
      </c>
      <c r="T3" s="2" t="n">
        <v>3</v>
      </c>
      <c r="U3" s="2" t="n">
        <v>7</v>
      </c>
      <c r="V3" s="17" t="n">
        <v>7.2</v>
      </c>
    </row>
    <row r="4" customFormat="false" ht="15" hidden="false" customHeight="false" outlineLevel="0" collapsed="false">
      <c r="A4" s="4" t="n">
        <v>3</v>
      </c>
      <c r="B4" s="4" t="s">
        <v>348</v>
      </c>
      <c r="C4" s="5" t="s">
        <v>349</v>
      </c>
      <c r="D4" s="4" t="s">
        <v>350</v>
      </c>
      <c r="E4" s="4" t="n">
        <v>90</v>
      </c>
      <c r="F4" s="4" t="n">
        <v>2</v>
      </c>
      <c r="G4" s="4" t="n">
        <v>1</v>
      </c>
      <c r="H4" s="4" t="n">
        <v>5</v>
      </c>
      <c r="I4" s="4" t="n">
        <v>3</v>
      </c>
      <c r="J4" s="14" t="n">
        <v>1.2</v>
      </c>
      <c r="K4" s="14" t="n">
        <v>0.5</v>
      </c>
      <c r="L4" s="4" t="n">
        <v>29</v>
      </c>
      <c r="M4" s="23" t="n">
        <v>77</v>
      </c>
      <c r="N4" s="4" t="n">
        <v>56</v>
      </c>
      <c r="O4" s="4" t="n">
        <v>9</v>
      </c>
      <c r="P4" s="15" t="n">
        <v>9.6</v>
      </c>
      <c r="Q4" s="4" t="n">
        <v>2041</v>
      </c>
      <c r="R4" s="15" t="n">
        <v>32.3</v>
      </c>
      <c r="S4" s="4" t="n">
        <v>9</v>
      </c>
      <c r="T4" s="4" t="n">
        <v>3</v>
      </c>
      <c r="U4" s="4" t="n">
        <v>4</v>
      </c>
      <c r="V4" s="25" t="n">
        <v>8.7</v>
      </c>
    </row>
    <row r="5" customFormat="false" ht="15" hidden="false" customHeight="false" outlineLevel="0" collapsed="false">
      <c r="A5" s="2" t="n">
        <v>4</v>
      </c>
      <c r="B5" s="2" t="s">
        <v>351</v>
      </c>
      <c r="C5" s="3" t="s">
        <v>352</v>
      </c>
      <c r="D5" s="2" t="s">
        <v>353</v>
      </c>
      <c r="E5" s="2" t="n">
        <v>88</v>
      </c>
      <c r="F5" s="2" t="n">
        <v>0</v>
      </c>
      <c r="G5" s="2" t="n">
        <v>0</v>
      </c>
      <c r="H5" s="2" t="n">
        <v>2</v>
      </c>
      <c r="I5" s="2" t="n">
        <v>0</v>
      </c>
      <c r="J5" s="16" t="n">
        <v>0.2</v>
      </c>
      <c r="K5" s="16" t="n">
        <v>0.2</v>
      </c>
      <c r="L5" s="2" t="n">
        <v>23</v>
      </c>
      <c r="M5" s="24" t="n">
        <v>89</v>
      </c>
      <c r="N5" s="2" t="n">
        <v>38</v>
      </c>
      <c r="O5" s="2" t="n">
        <v>10</v>
      </c>
      <c r="P5" s="17" t="n">
        <v>9.8</v>
      </c>
      <c r="Q5" s="2" t="n">
        <v>2047</v>
      </c>
      <c r="R5" s="17" t="n">
        <v>30.7</v>
      </c>
      <c r="S5" s="2" t="n">
        <v>16</v>
      </c>
      <c r="T5" s="2" t="n">
        <v>1</v>
      </c>
      <c r="U5" s="2" t="n">
        <v>6</v>
      </c>
      <c r="V5" s="17" t="n">
        <v>6.8</v>
      </c>
    </row>
    <row r="6" customFormat="false" ht="15" hidden="false" customHeight="false" outlineLevel="0" collapsed="false">
      <c r="A6" s="4" t="n">
        <v>5</v>
      </c>
      <c r="B6" s="4" t="s">
        <v>354</v>
      </c>
      <c r="C6" s="5" t="s">
        <v>355</v>
      </c>
      <c r="D6" s="4" t="s">
        <v>356</v>
      </c>
      <c r="E6" s="4" t="n">
        <v>90</v>
      </c>
      <c r="F6" s="4" t="n">
        <v>0</v>
      </c>
      <c r="G6" s="4" t="n">
        <v>1</v>
      </c>
      <c r="H6" s="4" t="n">
        <v>3</v>
      </c>
      <c r="I6" s="4" t="n">
        <v>1</v>
      </c>
      <c r="J6" s="14" t="n">
        <v>0.4</v>
      </c>
      <c r="K6" s="14" t="n">
        <v>0.6</v>
      </c>
      <c r="L6" s="4" t="n">
        <v>16</v>
      </c>
      <c r="M6" s="23" t="n">
        <v>83</v>
      </c>
      <c r="N6" s="4" t="n">
        <v>42</v>
      </c>
      <c r="O6" s="4" t="n">
        <v>7</v>
      </c>
      <c r="P6" s="15" t="n">
        <v>11.1</v>
      </c>
      <c r="Q6" s="4" t="n">
        <v>1664</v>
      </c>
      <c r="R6" s="15" t="n">
        <v>32.5</v>
      </c>
      <c r="S6" s="4" t="n">
        <v>15</v>
      </c>
      <c r="T6" s="4" t="n">
        <v>1</v>
      </c>
      <c r="U6" s="4" t="n">
        <v>6</v>
      </c>
      <c r="V6" s="15" t="n">
        <v>7.5</v>
      </c>
    </row>
    <row r="7" customFormat="false" ht="15" hidden="false" customHeight="false" outlineLevel="0" collapsed="false">
      <c r="A7" s="2" t="n">
        <v>6</v>
      </c>
      <c r="B7" s="2" t="s">
        <v>357</v>
      </c>
      <c r="C7" s="3" t="s">
        <v>358</v>
      </c>
      <c r="D7" s="2" t="s">
        <v>359</v>
      </c>
      <c r="E7" s="2" t="n">
        <v>85</v>
      </c>
      <c r="F7" s="2" t="n">
        <v>1</v>
      </c>
      <c r="G7" s="2" t="n">
        <v>0</v>
      </c>
      <c r="H7" s="2" t="n">
        <v>2</v>
      </c>
      <c r="I7" s="2" t="n">
        <v>1</v>
      </c>
      <c r="J7" s="16" t="n">
        <v>0.7</v>
      </c>
      <c r="K7" s="16" t="n">
        <v>0.1</v>
      </c>
      <c r="L7" s="2" t="n">
        <v>16</v>
      </c>
      <c r="M7" s="24" t="n">
        <v>75</v>
      </c>
      <c r="N7" s="2" t="n">
        <v>38</v>
      </c>
      <c r="O7" s="2" t="n">
        <v>6</v>
      </c>
      <c r="P7" s="17" t="n">
        <v>10.3</v>
      </c>
      <c r="Q7" s="2" t="n">
        <v>1929</v>
      </c>
      <c r="R7" s="17" t="n">
        <v>30.7</v>
      </c>
      <c r="S7" s="2" t="n">
        <v>14</v>
      </c>
      <c r="T7" s="2" t="n">
        <v>0</v>
      </c>
      <c r="U7" s="2" t="n">
        <v>3</v>
      </c>
      <c r="V7" s="17" t="n">
        <v>7.4</v>
      </c>
    </row>
    <row r="8" customFormat="false" ht="15" hidden="false" customHeight="false" outlineLevel="0" collapsed="false">
      <c r="A8" s="4" t="n">
        <v>7</v>
      </c>
      <c r="B8" s="4" t="s">
        <v>360</v>
      </c>
      <c r="C8" s="5" t="s">
        <v>361</v>
      </c>
      <c r="D8" s="4" t="s">
        <v>362</v>
      </c>
      <c r="E8" s="4" t="n">
        <v>90</v>
      </c>
      <c r="F8" s="4" t="n">
        <v>0</v>
      </c>
      <c r="G8" s="4" t="n">
        <v>1</v>
      </c>
      <c r="H8" s="4" t="n">
        <v>3</v>
      </c>
      <c r="I8" s="4" t="n">
        <v>1</v>
      </c>
      <c r="J8" s="14" t="n">
        <v>0.3</v>
      </c>
      <c r="K8" s="14" t="n">
        <v>0.7</v>
      </c>
      <c r="L8" s="4" t="n">
        <v>15</v>
      </c>
      <c r="M8" s="23" t="n">
        <v>84</v>
      </c>
      <c r="N8" s="4" t="n">
        <v>48</v>
      </c>
      <c r="O8" s="4" t="n">
        <v>6</v>
      </c>
      <c r="P8" s="15" t="n">
        <v>10.4</v>
      </c>
      <c r="Q8" s="4" t="n">
        <v>1705</v>
      </c>
      <c r="R8" s="15" t="n">
        <v>32.9</v>
      </c>
      <c r="S8" s="4" t="n">
        <v>8</v>
      </c>
      <c r="T8" s="4" t="n">
        <v>1</v>
      </c>
      <c r="U8" s="4" t="n">
        <v>5</v>
      </c>
      <c r="V8" s="15" t="n">
        <v>7.2</v>
      </c>
    </row>
    <row r="9" customFormat="false" ht="15" hidden="false" customHeight="false" outlineLevel="0" collapsed="false">
      <c r="A9" s="2" t="n">
        <v>8</v>
      </c>
      <c r="B9" s="2" t="s">
        <v>363</v>
      </c>
      <c r="C9" s="3" t="s">
        <v>364</v>
      </c>
      <c r="D9" s="2" t="s">
        <v>365</v>
      </c>
      <c r="E9" s="2" t="n">
        <v>90</v>
      </c>
      <c r="F9" s="2" t="n">
        <v>1</v>
      </c>
      <c r="G9" s="2" t="n">
        <v>0</v>
      </c>
      <c r="H9" s="2" t="n">
        <v>4</v>
      </c>
      <c r="I9" s="2" t="n">
        <v>2</v>
      </c>
      <c r="J9" s="16" t="n">
        <v>0.9</v>
      </c>
      <c r="K9" s="16" t="n">
        <v>0.2</v>
      </c>
      <c r="L9" s="2" t="n">
        <v>27</v>
      </c>
      <c r="M9" s="24" t="n">
        <v>76</v>
      </c>
      <c r="N9" s="2" t="n">
        <v>49</v>
      </c>
      <c r="O9" s="2" t="n">
        <v>11</v>
      </c>
      <c r="P9" s="17" t="n">
        <v>11.1</v>
      </c>
      <c r="Q9" s="2" t="n">
        <v>1634</v>
      </c>
      <c r="R9" s="17" t="n">
        <v>32.5</v>
      </c>
      <c r="S9" s="2" t="n">
        <v>17</v>
      </c>
      <c r="T9" s="2" t="n">
        <v>1</v>
      </c>
      <c r="U9" s="2" t="n">
        <v>6</v>
      </c>
      <c r="V9" s="26" t="n">
        <v>8</v>
      </c>
    </row>
    <row r="10" customFormat="false" ht="15" hidden="false" customHeight="false" outlineLevel="0" collapsed="false">
      <c r="A10" s="4" t="n">
        <v>9</v>
      </c>
      <c r="B10" s="4" t="s">
        <v>366</v>
      </c>
      <c r="C10" s="5" t="s">
        <v>367</v>
      </c>
      <c r="D10" s="4" t="s">
        <v>356</v>
      </c>
      <c r="E10" s="4" t="n">
        <v>90</v>
      </c>
      <c r="F10" s="4" t="n">
        <v>0</v>
      </c>
      <c r="G10" s="4" t="n">
        <v>0</v>
      </c>
      <c r="H10" s="4" t="n">
        <v>1</v>
      </c>
      <c r="I10" s="4" t="n">
        <v>0</v>
      </c>
      <c r="J10" s="14" t="n">
        <v>0.1</v>
      </c>
      <c r="K10" s="14" t="n">
        <v>0</v>
      </c>
      <c r="L10" s="4" t="n">
        <v>18</v>
      </c>
      <c r="M10" s="23" t="n">
        <v>75</v>
      </c>
      <c r="N10" s="4" t="n">
        <v>41</v>
      </c>
      <c r="O10" s="4" t="n">
        <v>6</v>
      </c>
      <c r="P10" s="15" t="n">
        <v>10</v>
      </c>
      <c r="Q10" s="4" t="n">
        <v>1681</v>
      </c>
      <c r="R10" s="15" t="n">
        <v>31.6</v>
      </c>
      <c r="S10" s="4" t="n">
        <v>11</v>
      </c>
      <c r="T10" s="4" t="n">
        <v>2</v>
      </c>
      <c r="U10" s="4" t="n">
        <v>5</v>
      </c>
      <c r="V10" s="15" t="n">
        <v>7.1</v>
      </c>
    </row>
    <row r="11" customFormat="false" ht="15" hidden="false" customHeight="false" outlineLevel="0" collapsed="false">
      <c r="A11" s="2" t="n">
        <v>10</v>
      </c>
      <c r="B11" s="2" t="s">
        <v>368</v>
      </c>
      <c r="C11" s="3" t="s">
        <v>369</v>
      </c>
      <c r="D11" s="2" t="s">
        <v>370</v>
      </c>
      <c r="E11" s="2" t="n">
        <v>78</v>
      </c>
      <c r="F11" s="2" t="n">
        <v>1</v>
      </c>
      <c r="G11" s="2" t="n">
        <v>0</v>
      </c>
      <c r="H11" s="2" t="n">
        <v>4</v>
      </c>
      <c r="I11" s="2" t="n">
        <v>2</v>
      </c>
      <c r="J11" s="16" t="n">
        <v>0.8</v>
      </c>
      <c r="K11" s="16" t="n">
        <v>0.3</v>
      </c>
      <c r="L11" s="2" t="n">
        <v>23</v>
      </c>
      <c r="M11" s="24" t="n">
        <v>75</v>
      </c>
      <c r="N11" s="2" t="n">
        <v>49</v>
      </c>
      <c r="O11" s="2" t="n">
        <v>6</v>
      </c>
      <c r="P11" s="17" t="n">
        <v>10.7</v>
      </c>
      <c r="Q11" s="2" t="n">
        <v>2013</v>
      </c>
      <c r="R11" s="17" t="n">
        <v>31.3</v>
      </c>
      <c r="S11" s="2" t="n">
        <v>17</v>
      </c>
      <c r="T11" s="2" t="n">
        <v>0</v>
      </c>
      <c r="U11" s="2" t="n">
        <v>4</v>
      </c>
      <c r="V11" s="17" t="n">
        <v>7.5</v>
      </c>
    </row>
    <row r="12" customFormat="false" ht="15" hidden="false" customHeight="false" outlineLevel="0" collapsed="false">
      <c r="A12" s="4" t="n">
        <v>11</v>
      </c>
      <c r="B12" s="4" t="s">
        <v>371</v>
      </c>
      <c r="C12" s="5" t="s">
        <v>372</v>
      </c>
      <c r="D12" s="4" t="s">
        <v>373</v>
      </c>
      <c r="E12" s="4" t="n">
        <v>90</v>
      </c>
      <c r="F12" s="4" t="n">
        <v>1</v>
      </c>
      <c r="G12" s="4" t="n">
        <v>0</v>
      </c>
      <c r="H12" s="4" t="n">
        <v>4</v>
      </c>
      <c r="I12" s="4" t="n">
        <v>3</v>
      </c>
      <c r="J12" s="14" t="n">
        <v>1</v>
      </c>
      <c r="K12" s="14" t="n">
        <v>0.2</v>
      </c>
      <c r="L12" s="4" t="n">
        <v>27</v>
      </c>
      <c r="M12" s="23" t="n">
        <v>82</v>
      </c>
      <c r="N12" s="4" t="n">
        <v>50</v>
      </c>
      <c r="O12" s="4" t="n">
        <v>10</v>
      </c>
      <c r="P12" s="15" t="n">
        <v>10.2</v>
      </c>
      <c r="Q12" s="4" t="n">
        <v>1879</v>
      </c>
      <c r="R12" s="15" t="n">
        <v>31.9</v>
      </c>
      <c r="S12" s="4" t="n">
        <v>10</v>
      </c>
      <c r="T12" s="4" t="n">
        <v>0</v>
      </c>
      <c r="U12" s="4" t="n">
        <v>4</v>
      </c>
      <c r="V12" s="15" t="n">
        <v>7.9</v>
      </c>
    </row>
    <row r="13" customFormat="false" ht="15" hidden="false" customHeight="false" outlineLevel="0" collapsed="false">
      <c r="A13" s="2" t="n">
        <v>12</v>
      </c>
      <c r="B13" s="2" t="s">
        <v>374</v>
      </c>
      <c r="C13" s="3" t="s">
        <v>375</v>
      </c>
      <c r="D13" s="2" t="s">
        <v>350</v>
      </c>
      <c r="E13" s="2" t="n">
        <v>90</v>
      </c>
      <c r="F13" s="2" t="n">
        <v>1</v>
      </c>
      <c r="G13" s="2" t="n">
        <v>1</v>
      </c>
      <c r="H13" s="2" t="n">
        <v>5</v>
      </c>
      <c r="I13" s="2" t="n">
        <v>3</v>
      </c>
      <c r="J13" s="16" t="n">
        <v>0.9</v>
      </c>
      <c r="K13" s="16" t="n">
        <v>0.5</v>
      </c>
      <c r="L13" s="2" t="n">
        <v>27</v>
      </c>
      <c r="M13" s="24" t="n">
        <v>86</v>
      </c>
      <c r="N13" s="2" t="n">
        <v>45</v>
      </c>
      <c r="O13" s="2" t="n">
        <v>8</v>
      </c>
      <c r="P13" s="17" t="n">
        <v>11</v>
      </c>
      <c r="Q13" s="2" t="n">
        <v>1731</v>
      </c>
      <c r="R13" s="17" t="n">
        <v>32.3</v>
      </c>
      <c r="S13" s="2" t="n">
        <v>12</v>
      </c>
      <c r="T13" s="2" t="n">
        <v>0</v>
      </c>
      <c r="U13" s="2" t="n">
        <v>7</v>
      </c>
      <c r="V13" s="26" t="n">
        <v>8.3</v>
      </c>
    </row>
    <row r="14" customFormat="false" ht="15" hidden="false" customHeight="false" outlineLevel="0" collapsed="false">
      <c r="A14" s="4" t="n">
        <v>13</v>
      </c>
      <c r="B14" s="4" t="s">
        <v>376</v>
      </c>
      <c r="C14" s="5" t="s">
        <v>377</v>
      </c>
      <c r="D14" s="4" t="s">
        <v>378</v>
      </c>
      <c r="E14" s="4" t="n">
        <v>90</v>
      </c>
      <c r="F14" s="4" t="n">
        <v>0</v>
      </c>
      <c r="G14" s="4" t="n">
        <v>1</v>
      </c>
      <c r="H14" s="4" t="n">
        <v>2</v>
      </c>
      <c r="I14" s="4" t="n">
        <v>1</v>
      </c>
      <c r="J14" s="14" t="n">
        <v>0.4</v>
      </c>
      <c r="K14" s="14" t="n">
        <v>0.4</v>
      </c>
      <c r="L14" s="4" t="n">
        <v>21</v>
      </c>
      <c r="M14" s="23" t="n">
        <v>79</v>
      </c>
      <c r="N14" s="4" t="n">
        <v>50</v>
      </c>
      <c r="O14" s="4" t="n">
        <v>8</v>
      </c>
      <c r="P14" s="15" t="n">
        <v>10.2</v>
      </c>
      <c r="Q14" s="4" t="n">
        <v>1582</v>
      </c>
      <c r="R14" s="15" t="n">
        <v>32.9</v>
      </c>
      <c r="S14" s="4" t="n">
        <v>14</v>
      </c>
      <c r="T14" s="4" t="n">
        <v>2</v>
      </c>
      <c r="U14" s="4" t="n">
        <v>2</v>
      </c>
      <c r="V14" s="15" t="n">
        <v>7.4</v>
      </c>
    </row>
    <row r="15" customFormat="false" ht="15" hidden="false" customHeight="false" outlineLevel="0" collapsed="false">
      <c r="A15" s="2" t="n">
        <v>14</v>
      </c>
      <c r="B15" s="2" t="s">
        <v>379</v>
      </c>
      <c r="C15" s="3" t="s">
        <v>380</v>
      </c>
      <c r="D15" s="2" t="s">
        <v>381</v>
      </c>
      <c r="E15" s="2" t="n">
        <v>90</v>
      </c>
      <c r="F15" s="2" t="n">
        <v>2</v>
      </c>
      <c r="G15" s="2" t="n">
        <v>1</v>
      </c>
      <c r="H15" s="2" t="n">
        <v>5</v>
      </c>
      <c r="I15" s="2" t="n">
        <v>3</v>
      </c>
      <c r="J15" s="16" t="n">
        <v>1.4</v>
      </c>
      <c r="K15" s="16" t="n">
        <v>0.6</v>
      </c>
      <c r="L15" s="2" t="n">
        <v>25</v>
      </c>
      <c r="M15" s="24" t="n">
        <v>87</v>
      </c>
      <c r="N15" s="2" t="n">
        <v>55</v>
      </c>
      <c r="O15" s="2" t="n">
        <v>6</v>
      </c>
      <c r="P15" s="17" t="n">
        <v>11.1</v>
      </c>
      <c r="Q15" s="2" t="n">
        <v>1762</v>
      </c>
      <c r="R15" s="17" t="n">
        <v>31.7</v>
      </c>
      <c r="S15" s="2" t="n">
        <v>12</v>
      </c>
      <c r="T15" s="2" t="n">
        <v>3</v>
      </c>
      <c r="U15" s="2" t="n">
        <v>7</v>
      </c>
      <c r="V15" s="26" t="n">
        <v>9</v>
      </c>
    </row>
    <row r="16" customFormat="false" ht="15" hidden="false" customHeight="false" outlineLevel="0" collapsed="false">
      <c r="A16" s="4" t="n">
        <v>15</v>
      </c>
      <c r="B16" s="4" t="s">
        <v>382</v>
      </c>
      <c r="C16" s="5" t="s">
        <v>383</v>
      </c>
      <c r="D16" s="4" t="s">
        <v>350</v>
      </c>
      <c r="E16" s="4" t="n">
        <v>65</v>
      </c>
      <c r="F16" s="4" t="n">
        <v>0</v>
      </c>
      <c r="G16" s="4" t="n">
        <v>0</v>
      </c>
      <c r="H16" s="4" t="n">
        <v>1</v>
      </c>
      <c r="I16" s="4" t="n">
        <v>0</v>
      </c>
      <c r="J16" s="14" t="n">
        <v>0.2</v>
      </c>
      <c r="K16" s="14" t="n">
        <v>0.1</v>
      </c>
      <c r="L16" s="4" t="n">
        <v>20</v>
      </c>
      <c r="M16" s="23" t="n">
        <v>81</v>
      </c>
      <c r="N16" s="4" t="n">
        <v>50</v>
      </c>
      <c r="O16" s="4" t="n">
        <v>11</v>
      </c>
      <c r="P16" s="15" t="n">
        <v>9.8</v>
      </c>
      <c r="Q16" s="4" t="n">
        <v>1844</v>
      </c>
      <c r="R16" s="15" t="n">
        <v>32.9</v>
      </c>
      <c r="S16" s="4" t="n">
        <v>13</v>
      </c>
      <c r="T16" s="4" t="n">
        <v>0</v>
      </c>
      <c r="U16" s="4" t="n">
        <v>7</v>
      </c>
      <c r="V16" s="15" t="n">
        <v>6.7</v>
      </c>
    </row>
    <row r="17" customFormat="false" ht="15" hidden="false" customHeight="false" outlineLevel="0" collapsed="false">
      <c r="A17" s="2" t="n">
        <v>16</v>
      </c>
      <c r="B17" s="2" t="s">
        <v>384</v>
      </c>
      <c r="C17" s="3" t="s">
        <v>385</v>
      </c>
      <c r="D17" s="2" t="s">
        <v>353</v>
      </c>
      <c r="E17" s="2" t="n">
        <v>90</v>
      </c>
      <c r="F17" s="2" t="n">
        <v>0</v>
      </c>
      <c r="G17" s="2" t="n">
        <v>1</v>
      </c>
      <c r="H17" s="2" t="n">
        <v>2</v>
      </c>
      <c r="I17" s="2" t="n">
        <v>1</v>
      </c>
      <c r="J17" s="16" t="n">
        <v>0.3</v>
      </c>
      <c r="K17" s="16" t="n">
        <v>0.7</v>
      </c>
      <c r="L17" s="2" t="n">
        <v>24</v>
      </c>
      <c r="M17" s="24" t="n">
        <v>78</v>
      </c>
      <c r="N17" s="2" t="n">
        <v>59</v>
      </c>
      <c r="O17" s="2" t="n">
        <v>6</v>
      </c>
      <c r="P17" s="17" t="n">
        <v>10.8</v>
      </c>
      <c r="Q17" s="2" t="n">
        <v>1767</v>
      </c>
      <c r="R17" s="17" t="n">
        <v>32.3</v>
      </c>
      <c r="S17" s="2" t="n">
        <v>11</v>
      </c>
      <c r="T17" s="2" t="n">
        <v>3</v>
      </c>
      <c r="U17" s="2" t="n">
        <v>4</v>
      </c>
      <c r="V17" s="17" t="n">
        <v>7.5</v>
      </c>
    </row>
    <row r="18" customFormat="false" ht="15" hidden="false" customHeight="false" outlineLevel="0" collapsed="false">
      <c r="A18" s="4" t="n">
        <v>17</v>
      </c>
      <c r="B18" s="4" t="s">
        <v>386</v>
      </c>
      <c r="C18" s="5" t="s">
        <v>387</v>
      </c>
      <c r="D18" s="4" t="s">
        <v>344</v>
      </c>
      <c r="E18" s="4" t="n">
        <v>90</v>
      </c>
      <c r="F18" s="4" t="n">
        <v>1</v>
      </c>
      <c r="G18" s="4" t="n">
        <v>0</v>
      </c>
      <c r="H18" s="4" t="n">
        <v>4</v>
      </c>
      <c r="I18" s="4" t="n">
        <v>2</v>
      </c>
      <c r="J18" s="14" t="n">
        <v>0.7</v>
      </c>
      <c r="K18" s="14" t="n">
        <v>0.3</v>
      </c>
      <c r="L18" s="4" t="n">
        <v>15</v>
      </c>
      <c r="M18" s="23" t="n">
        <v>75</v>
      </c>
      <c r="N18" s="4" t="n">
        <v>54</v>
      </c>
      <c r="O18" s="4" t="n">
        <v>12</v>
      </c>
      <c r="P18" s="15" t="n">
        <v>9.8</v>
      </c>
      <c r="Q18" s="4" t="n">
        <v>2034</v>
      </c>
      <c r="R18" s="15" t="n">
        <v>31.3</v>
      </c>
      <c r="S18" s="4" t="n">
        <v>18</v>
      </c>
      <c r="T18" s="4" t="n">
        <v>1</v>
      </c>
      <c r="U18" s="4" t="n">
        <v>6</v>
      </c>
      <c r="V18" s="15" t="n">
        <v>7.8</v>
      </c>
    </row>
    <row r="19" customFormat="false" ht="15" hidden="false" customHeight="false" outlineLevel="0" collapsed="false">
      <c r="A19" s="2" t="n">
        <v>18</v>
      </c>
      <c r="B19" s="2" t="s">
        <v>388</v>
      </c>
      <c r="C19" s="3" t="s">
        <v>389</v>
      </c>
      <c r="D19" s="2" t="s">
        <v>390</v>
      </c>
      <c r="E19" s="2" t="n">
        <v>90</v>
      </c>
      <c r="F19" s="2" t="n">
        <v>2</v>
      </c>
      <c r="G19" s="2" t="n">
        <v>0</v>
      </c>
      <c r="H19" s="2" t="n">
        <v>5</v>
      </c>
      <c r="I19" s="2" t="n">
        <v>3</v>
      </c>
      <c r="J19" s="16" t="n">
        <v>1.5</v>
      </c>
      <c r="K19" s="16" t="n">
        <v>0.1</v>
      </c>
      <c r="L19" s="2" t="n">
        <v>29</v>
      </c>
      <c r="M19" s="24" t="n">
        <v>78</v>
      </c>
      <c r="N19" s="2" t="n">
        <v>46</v>
      </c>
      <c r="O19" s="2" t="n">
        <v>10</v>
      </c>
      <c r="P19" s="17" t="n">
        <v>10.3</v>
      </c>
      <c r="Q19" s="2" t="n">
        <v>2043</v>
      </c>
      <c r="R19" s="17" t="n">
        <v>32.2</v>
      </c>
      <c r="S19" s="2" t="n">
        <v>18</v>
      </c>
      <c r="T19" s="2" t="n">
        <v>2</v>
      </c>
      <c r="U19" s="2" t="n">
        <v>3</v>
      </c>
      <c r="V19" s="26" t="n">
        <v>8.5</v>
      </c>
    </row>
    <row r="20" customFormat="false" ht="15" hidden="false" customHeight="false" outlineLevel="0" collapsed="false">
      <c r="A20" s="1"/>
      <c r="B20" s="20" t="s">
        <v>391</v>
      </c>
      <c r="C20" s="1"/>
      <c r="D20" s="1"/>
      <c r="E20" s="1" t="n">
        <f aca="false">SUM(E2:E19)</f>
        <v>1576</v>
      </c>
      <c r="F20" s="1" t="n">
        <f aca="false">SUM(F2:F19)</f>
        <v>12</v>
      </c>
      <c r="G20" s="1" t="n">
        <f aca="false">SUM(G2:G19)</f>
        <v>8</v>
      </c>
      <c r="H20" s="1" t="n">
        <f aca="false">SUM(H2:H19)</f>
        <v>59</v>
      </c>
      <c r="I20" s="1" t="n">
        <f aca="false">SUM(I2:I19)</f>
        <v>29</v>
      </c>
      <c r="J20" s="21" t="n">
        <f aca="false">SUM(J2:J19)</f>
        <v>11.8</v>
      </c>
      <c r="K20" s="21" t="n">
        <f aca="false">SUM(K2:K19)</f>
        <v>6.2</v>
      </c>
      <c r="L20" s="1" t="n">
        <f aca="false">SUM(L2:L19)</f>
        <v>414</v>
      </c>
      <c r="M20" s="27" t="n">
        <f aca="false">ROUND(AVERAGE(M2:M19),1)</f>
        <v>79.9</v>
      </c>
      <c r="N20" s="1" t="n">
        <f aca="false">SUM(N2:N19)</f>
        <v>871</v>
      </c>
      <c r="O20" s="1" t="n">
        <f aca="false">SUM(O2:O19)</f>
        <v>149</v>
      </c>
      <c r="P20" s="22" t="n">
        <f aca="false">ROUND(AVERAGE(P2:P19),1)</f>
        <v>10.3</v>
      </c>
      <c r="Q20" s="1" t="n">
        <f aca="false">SUM(Q2:Q19)</f>
        <v>33119</v>
      </c>
      <c r="R20" s="22" t="n">
        <f aca="false">ROUND(AVERAGE(R2:R19),1)</f>
        <v>32</v>
      </c>
      <c r="S20" s="1" t="n">
        <f aca="false">SUM(S2:S19)</f>
        <v>240</v>
      </c>
      <c r="T20" s="1" t="n">
        <f aca="false">SUM(T2:T19)</f>
        <v>26</v>
      </c>
      <c r="U20" s="1" t="n">
        <f aca="false">SUM(U2:U19)</f>
        <v>92</v>
      </c>
      <c r="V20" s="22" t="n">
        <f aca="false">ROUND(AVERAGE(V2:V19),1)</f>
        <v>7.6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2026-04-30T13:02:46Z</dcterms:created>
  <dc:creator>openpyxl</dc:creator>
  <dc:description/>
  <dc:language>en-US</dc:language>
  <cp:lastModifiedBy/>
  <dcterms:modified xsi:type="dcterms:W3CDTF">2026-04-30T13:02:46Z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